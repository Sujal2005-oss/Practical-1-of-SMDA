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jal\Desktop\Project\Excel\SMDA PRACTICALS\Practical 1\data\cleaned\"/>
    </mc:Choice>
  </mc:AlternateContent>
  <xr:revisionPtr revIDLastSave="0" documentId="13_ncr:1_{91B6E0EA-E674-4ABD-80F9-70BB62ACFEE6}" xr6:coauthVersionLast="47" xr6:coauthVersionMax="47" xr10:uidLastSave="{00000000-0000-0000-0000-000000000000}"/>
  <bookViews>
    <workbookView xWindow="5652" yWindow="420" windowWidth="16776" windowHeight="11244" xr2:uid="{96B28851-623A-4F36-81EB-56BAE2342185}"/>
  </bookViews>
  <sheets>
    <sheet name="Supermarket_Sales_1000_Rows" sheetId="2" r:id="rId1"/>
    <sheet name="Total Sales" sheetId="4" r:id="rId2"/>
    <sheet name="Average Sales" sheetId="5" r:id="rId3"/>
    <sheet name="Maximum Billing" sheetId="7" r:id="rId4"/>
    <sheet name="Minimum bill" sheetId="6" r:id="rId5"/>
    <sheet name="Total Records" sheetId="1" r:id="rId6"/>
    <sheet name="Identify Columns" sheetId="3" r:id="rId7"/>
    <sheet name="1} Total Transcations Occured" sheetId="13" r:id="rId8"/>
    <sheet name="2} High Sales By Branch" sheetId="9" r:id="rId9"/>
    <sheet name="3} Most Frequently Product Line" sheetId="10" r:id="rId10"/>
    <sheet name="4} Payment Method Used" sheetId="11" r:id="rId11"/>
    <sheet name="5} Largerst Customer by City" sheetId="12" r:id="rId12"/>
  </sheets>
  <definedNames>
    <definedName name="ExternalData_1" localSheetId="0" hidden="1">Supermarket_Sales_1000_Rows!$A$1:$I$1001</definedName>
  </definedNames>
  <calcPr calcId="191029"/>
  <pivotCaches>
    <pivotCache cacheId="0" r:id="rId1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3" l="1"/>
  <c r="B1" i="4"/>
  <c r="B1" i="7"/>
  <c r="B2" i="6"/>
  <c r="B1" i="5"/>
  <c r="A1" i="3" a="1"/>
  <c r="B1" i="3" s="1"/>
  <c r="B1" i="1"/>
  <c r="B2" i="3" l="1"/>
  <c r="B6" i="3"/>
  <c r="B9" i="3"/>
  <c r="B3" i="3"/>
  <c r="B5" i="3"/>
  <c r="B7" i="3"/>
  <c r="B8" i="3"/>
  <c r="B4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E5A0A0-1A1F-4A94-8030-5CB1D55B5943}" keepAlive="1" name="Query - Supermarket_Sales_1000_Rows" description="Connection to the 'Supermarket_Sales_1000_Rows' query in the workbook." type="5" refreshedVersion="8" background="1" saveData="1">
    <dbPr connection="Provider=Microsoft.Mashup.OleDb.1;Data Source=$Workbook$;Location=Supermarket_Sales_1000_Rows;Extended Properties=&quot;&quot;" command="SELECT * FROM [Supermarket_Sales_1000_Row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<sst xmlns="http://schemas.openxmlformats.org/spreadsheetml/2006/main" count="5053" uniqueCount="1047">
  <si>
    <t>Invoice_ID</t>
  </si>
  <si>
    <t>Branch</t>
  </si>
  <si>
    <t>City</t>
  </si>
  <si>
    <t>Unit_Price</t>
  </si>
  <si>
    <t>Quantity</t>
  </si>
  <si>
    <t>Total_Sales</t>
  </si>
  <si>
    <t>Date</t>
  </si>
  <si>
    <t>Payment</t>
  </si>
  <si>
    <t>INV0001</t>
  </si>
  <si>
    <t>Bangalore Branch</t>
  </si>
  <si>
    <t>Bangalore</t>
  </si>
  <si>
    <t>Electronics</t>
  </si>
  <si>
    <t>UPI</t>
  </si>
  <si>
    <t>INV0002</t>
  </si>
  <si>
    <t>Hyderabad Branch</t>
  </si>
  <si>
    <t>Hyderabad</t>
  </si>
  <si>
    <t>Clothing</t>
  </si>
  <si>
    <t>Debit Card</t>
  </si>
  <si>
    <t>INV0003</t>
  </si>
  <si>
    <t>INV0004</t>
  </si>
  <si>
    <t>Pune Branch</t>
  </si>
  <si>
    <t>Pune</t>
  </si>
  <si>
    <t>Cash</t>
  </si>
  <si>
    <t>INV0005</t>
  </si>
  <si>
    <t>Mumbai Branch</t>
  </si>
  <si>
    <t>Mumbai</t>
  </si>
  <si>
    <t>Home Appliances</t>
  </si>
  <si>
    <t>Credit Card</t>
  </si>
  <si>
    <t>INV0006</t>
  </si>
  <si>
    <t>Chennai Branch</t>
  </si>
  <si>
    <t>Chennai</t>
  </si>
  <si>
    <t>Groceries</t>
  </si>
  <si>
    <t>INV0007</t>
  </si>
  <si>
    <t>Sports &amp; Fitness</t>
  </si>
  <si>
    <t>INV0008</t>
  </si>
  <si>
    <t>INV0009</t>
  </si>
  <si>
    <t>INV0010</t>
  </si>
  <si>
    <t>INV0011</t>
  </si>
  <si>
    <t>Delhi Branch</t>
  </si>
  <si>
    <t>Delhi</t>
  </si>
  <si>
    <t>INV0012</t>
  </si>
  <si>
    <t>INV0013</t>
  </si>
  <si>
    <t>INV0014</t>
  </si>
  <si>
    <t>INV0015</t>
  </si>
  <si>
    <t>INV0016</t>
  </si>
  <si>
    <t>INV0017</t>
  </si>
  <si>
    <t>INV0018</t>
  </si>
  <si>
    <t>Beauty &amp; Personal Care</t>
  </si>
  <si>
    <t>INV0019</t>
  </si>
  <si>
    <t>INV0020</t>
  </si>
  <si>
    <t>INV0021</t>
  </si>
  <si>
    <t>INV0022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</si>
  <si>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</si>
  <si>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</si>
  <si>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</si>
  <si>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</si>
  <si>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</si>
  <si>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</si>
  <si>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</si>
  <si>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</si>
  <si>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</si>
  <si>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</si>
  <si>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</si>
  <si>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</si>
  <si>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</si>
  <si>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</si>
  <si>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</si>
  <si>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</si>
  <si>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</si>
  <si>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</si>
  <si>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</si>
  <si>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</si>
  <si>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</si>
  <si>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</si>
  <si>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</si>
  <si>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</si>
  <si>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</si>
  <si>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</si>
  <si>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</si>
  <si>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</si>
  <si>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</si>
  <si>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</si>
  <si>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</si>
  <si>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</si>
  <si>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</si>
  <si>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</si>
  <si>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</si>
  <si>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</si>
  <si>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</si>
  <si>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</si>
  <si>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</si>
  <si>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</si>
  <si>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</si>
  <si>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</si>
  <si>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</si>
  <si>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</si>
  <si>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</si>
  <si>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</si>
  <si>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</si>
  <si>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</si>
  <si>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</si>
  <si>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</si>
  <si>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</si>
  <si>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</si>
  <si>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</si>
  <si>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</si>
  <si>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</si>
  <si>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</si>
  <si>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</si>
  <si>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</si>
  <si>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</si>
  <si>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</si>
  <si>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</si>
  <si>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</si>
  <si>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</si>
  <si>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</si>
  <si>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</si>
  <si>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</si>
  <si>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</si>
  <si>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</si>
  <si>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</si>
  <si>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</si>
  <si>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</si>
  <si>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</si>
  <si>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</si>
  <si>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</si>
  <si>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</si>
  <si>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</si>
  <si>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</si>
  <si>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</si>
  <si>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</si>
  <si>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</si>
  <si>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</si>
  <si>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</si>
  <si>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</si>
  <si>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</si>
  <si>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</si>
  <si>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</si>
  <si>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</si>
  <si>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</si>
  <si>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</si>
  <si>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</si>
  <si>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</si>
  <si>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</si>
  <si>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</si>
  <si>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</si>
  <si>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</si>
  <si>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</si>
  <si>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</si>
  <si>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</si>
  <si>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</si>
  <si>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</si>
  <si>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</si>
  <si>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</si>
  <si>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</si>
  <si>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</si>
  <si>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</si>
  <si>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</si>
  <si>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</si>
  <si>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</si>
  <si>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</si>
  <si>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</si>
  <si>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</si>
  <si>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</si>
  <si>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</si>
  <si>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</si>
  <si>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</si>
  <si>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</si>
  <si>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</si>
  <si>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</si>
  <si>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</si>
  <si>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</si>
  <si>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</si>
  <si>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</si>
  <si>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</si>
  <si>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</si>
  <si>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</si>
  <si>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</si>
  <si>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</si>
  <si>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</si>
  <si>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</si>
  <si>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</si>
  <si>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</si>
  <si>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</si>
  <si>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</si>
  <si>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</si>
  <si>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</si>
  <si>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</si>
  <si>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</si>
  <si>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</si>
  <si>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</si>
  <si>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</si>
  <si>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</si>
  <si>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</si>
  <si>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</si>
  <si>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</si>
  <si>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</si>
  <si>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</si>
  <si>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</si>
  <si>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</si>
  <si>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</si>
  <si>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</si>
  <si>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</si>
  <si>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</si>
  <si>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</si>
  <si>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</si>
  <si>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</si>
  <si>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</si>
  <si>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</si>
  <si>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</si>
  <si>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</si>
  <si>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</si>
  <si>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</si>
  <si>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</si>
  <si>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</si>
  <si>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</si>
  <si>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</si>
  <si>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</si>
  <si>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</si>
  <si>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</si>
  <si>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</si>
  <si>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</si>
  <si>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</si>
  <si>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</si>
  <si>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</si>
  <si>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</si>
  <si>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</si>
  <si>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</si>
  <si>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</si>
  <si>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</si>
  <si>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</si>
  <si>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</si>
  <si>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</si>
  <si>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</si>
  <si>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</si>
  <si>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</si>
  <si>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</si>
  <si>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</si>
  <si>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</si>
  <si>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</si>
  <si>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</si>
  <si>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</si>
  <si>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</si>
  <si>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</si>
  <si>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</si>
  <si>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</si>
  <si>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</si>
  <si>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</si>
  <si>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</si>
  <si>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</si>
  <si>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</si>
  <si>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</si>
  <si>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</si>
  <si>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</si>
  <si>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</si>
  <si>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</si>
  <si>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</si>
  <si>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</si>
  <si>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</si>
  <si>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</si>
  <si>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</si>
  <si>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</si>
  <si>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</si>
  <si>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</si>
  <si>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</si>
  <si>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</si>
  <si>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</si>
  <si>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</si>
  <si>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</si>
  <si>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</si>
  <si>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</si>
  <si>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</si>
  <si>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</si>
  <si>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</si>
  <si>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</si>
  <si>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</si>
  <si>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</si>
  <si>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</si>
  <si>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</si>
  <si>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</si>
  <si>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</si>
  <si>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</si>
  <si>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</si>
  <si>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</si>
  <si>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</si>
  <si>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</si>
  <si>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</si>
  <si>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</si>
  <si>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</si>
  <si>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</si>
  <si>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</si>
  <si>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</si>
  <si>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</si>
  <si>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</si>
  <si>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</si>
  <si>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</si>
  <si>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</si>
  <si>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</si>
  <si>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</si>
  <si>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</si>
  <si>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</si>
  <si>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</si>
  <si>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</si>
  <si>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</si>
  <si>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</si>
  <si>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</si>
  <si>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</si>
  <si>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</si>
  <si>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</si>
  <si>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</si>
  <si>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</si>
  <si>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</si>
  <si>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</si>
  <si>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</si>
  <si>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</si>
  <si>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</si>
  <si>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</si>
  <si>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</si>
  <si>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</si>
  <si>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</si>
  <si>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</si>
  <si>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</si>
  <si>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</si>
  <si>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</si>
  <si>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</si>
  <si>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</si>
  <si>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</si>
  <si>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</si>
  <si>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</si>
  <si>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</si>
  <si>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</si>
  <si>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</si>
  <si>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</si>
  <si>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</si>
  <si>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</si>
  <si>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</si>
  <si>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</si>
  <si>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</si>
  <si>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</si>
  <si>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</si>
  <si>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</si>
  <si>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</si>
  <si>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</si>
  <si>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</si>
  <si>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</si>
  <si>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</si>
  <si>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</si>
  <si>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</si>
  <si>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</si>
  <si>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</si>
  <si>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</si>
  <si>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</si>
  <si>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</si>
  <si>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</si>
  <si>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</si>
  <si>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</si>
  <si>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</si>
  <si>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</si>
  <si>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</si>
  <si>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</si>
  <si>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</si>
  <si>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</si>
  <si>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</si>
  <si>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</si>
  <si>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</si>
  <si>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</si>
  <si>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</si>
  <si>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</si>
  <si>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</si>
  <si>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</si>
  <si>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</si>
  <si>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</si>
  <si>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</si>
  <si>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</si>
  <si>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</si>
  <si>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</si>
  <si>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</si>
  <si>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</si>
  <si>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</si>
  <si>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</si>
  <si>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</si>
  <si>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</si>
  <si>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</si>
  <si>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</si>
  <si>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</si>
  <si>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</si>
  <si>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</si>
  <si>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</si>
  <si>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</si>
  <si>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</si>
  <si>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</si>
  <si>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</si>
  <si>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</si>
  <si>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</si>
  <si>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</si>
  <si>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</si>
  <si>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</si>
  <si>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</si>
  <si>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</si>
  <si>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</si>
  <si>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</si>
  <si>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</si>
  <si>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</si>
  <si>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</si>
  <si>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</si>
  <si>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</si>
  <si>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</si>
  <si>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</si>
  <si>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</si>
  <si>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</si>
  <si>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</si>
  <si>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</si>
  <si>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</si>
  <si>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</si>
  <si>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</si>
  <si>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</si>
  <si>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</si>
  <si>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</si>
  <si>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</si>
  <si>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</si>
  <si>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</si>
  <si>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</si>
  <si>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</si>
  <si>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</si>
  <si>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</si>
  <si>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</si>
  <si>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</si>
  <si>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</si>
  <si>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</si>
  <si>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</si>
  <si>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</si>
  <si>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</si>
  <si>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</si>
  <si>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</si>
  <si>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</si>
  <si>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</si>
  <si>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</si>
  <si>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</si>
  <si>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</si>
  <si>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</si>
  <si>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</si>
  <si>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</si>
  <si>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</si>
  <si>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</si>
  <si>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</si>
  <si>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</si>
  <si>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</si>
  <si>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</si>
  <si>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</si>
  <si>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</si>
  <si>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</si>
  <si>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</si>
  <si>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</si>
  <si>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</si>
  <si>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</si>
  <si>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</si>
  <si>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</si>
  <si>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</si>
  <si>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</si>
  <si>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</si>
  <si>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</si>
  <si>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</si>
  <si>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</si>
  <si>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</si>
  <si>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</si>
  <si>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</si>
  <si>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</si>
  <si>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</si>
  <si>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</si>
  <si>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</si>
  <si>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</si>
  <si>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</si>
  <si>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</si>
  <si>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</si>
  <si>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</si>
  <si>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</si>
  <si>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</si>
  <si>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</si>
  <si>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</si>
  <si>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</si>
  <si>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</si>
  <si>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</si>
  <si>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</si>
  <si>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</si>
  <si>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</si>
  <si>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</si>
  <si>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</si>
  <si>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</si>
  <si>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</si>
  <si>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</si>
  <si>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</si>
  <si>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</si>
  <si>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</si>
  <si>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</si>
  <si>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</si>
  <si>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</si>
  <si>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</si>
  <si>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</si>
  <si>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</si>
  <si>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</si>
  <si>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</si>
  <si>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</si>
  <si>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</si>
  <si>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</si>
  <si>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</si>
  <si>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</si>
  <si>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</si>
  <si>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</si>
  <si>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</si>
  <si>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</si>
  <si>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</si>
  <si>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</si>
  <si>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</si>
  <si>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</si>
  <si>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</si>
  <si>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</si>
  <si>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</si>
  <si>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</si>
  <si>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</si>
  <si>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</si>
  <si>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</si>
  <si>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</si>
  <si>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</si>
  <si>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</si>
  <si>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</si>
  <si>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</si>
  <si>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</si>
  <si>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</si>
  <si>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</si>
  <si>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</si>
  <si>
    <t>INV0501</t>
  </si>
  <si>
    <t>INV0502</t>
  </si>
  <si>
    <t>INV0503</t>
  </si>
  <si>
    <t>INV0504</t>
  </si>
  <si>
    <t>INV0505</t>
  </si>
  <si>
    <t>INV0506</t>
  </si>
  <si>
    <t>INV0507</t>
  </si>
  <si>
    <t>INV0508</t>
  </si>
  <si>
    <t>INV0509</t>
  </si>
  <si>
    <t>INV0510</t>
  </si>
  <si>
    <t>INV0511</t>
  </si>
  <si>
    <t>INV0512</t>
  </si>
  <si>
    <t>INV0513</t>
  </si>
  <si>
    <t>INV0514</t>
  </si>
  <si>
    <t>INV0515</t>
  </si>
  <si>
    <t>INV0516</t>
  </si>
  <si>
    <t>INV0517</t>
  </si>
  <si>
    <t>INV0518</t>
  </si>
  <si>
    <t>INV0519</t>
  </si>
  <si>
    <t>INV0520</t>
  </si>
  <si>
    <t>INV0521</t>
  </si>
  <si>
    <t>INV0522</t>
  </si>
  <si>
    <t>INV0523</t>
  </si>
  <si>
    <t>INV0524</t>
  </si>
  <si>
    <t>INV0525</t>
  </si>
  <si>
    <t>INV0526</t>
  </si>
  <si>
    <t>INV0527</t>
  </si>
  <si>
    <t>INV0528</t>
  </si>
  <si>
    <t>INV0529</t>
  </si>
  <si>
    <t>INV0530</t>
  </si>
  <si>
    <t>INV0531</t>
  </si>
  <si>
    <t>INV0532</t>
  </si>
  <si>
    <t>INV0533</t>
  </si>
  <si>
    <t>INV0534</t>
  </si>
  <si>
    <t>INV0535</t>
  </si>
  <si>
    <t>INV0536</t>
  </si>
  <si>
    <t>INV0537</t>
  </si>
  <si>
    <t>INV0538</t>
  </si>
  <si>
    <t>INV0539</t>
  </si>
  <si>
    <t>INV0540</t>
  </si>
  <si>
    <t>INV0541</t>
  </si>
  <si>
    <t>INV0542</t>
  </si>
  <si>
    <t>INV0543</t>
  </si>
  <si>
    <t>INV0544</t>
  </si>
  <si>
    <t>INV0545</t>
  </si>
  <si>
    <t>INV0546</t>
  </si>
  <si>
    <t>INV0547</t>
  </si>
  <si>
    <t>INV0548</t>
  </si>
  <si>
    <t>INV0549</t>
  </si>
  <si>
    <t>INV0550</t>
  </si>
  <si>
    <t>INV0551</t>
  </si>
  <si>
    <t>INV0552</t>
  </si>
  <si>
    <t>INV0553</t>
  </si>
  <si>
    <t>INV0554</t>
  </si>
  <si>
    <t>INV0555</t>
  </si>
  <si>
    <t>INV0556</t>
  </si>
  <si>
    <t>INV0557</t>
  </si>
  <si>
    <t>INV0558</t>
  </si>
  <si>
    <t>INV0559</t>
  </si>
  <si>
    <t>INV0560</t>
  </si>
  <si>
    <t>INV0561</t>
  </si>
  <si>
    <t>INV0562</t>
  </si>
  <si>
    <t>INV0563</t>
  </si>
  <si>
    <t>INV0564</t>
  </si>
  <si>
    <t>INV0565</t>
  </si>
  <si>
    <t>INV0566</t>
  </si>
  <si>
    <t>INV0567</t>
  </si>
  <si>
    <t>INV0568</t>
  </si>
  <si>
    <t>INV0569</t>
  </si>
  <si>
    <t>INV0570</t>
  </si>
  <si>
    <t>INV0571</t>
  </si>
  <si>
    <t>INV0572</t>
  </si>
  <si>
    <t>INV0573</t>
  </si>
  <si>
    <t>INV0574</t>
  </si>
  <si>
    <t>INV0575</t>
  </si>
  <si>
    <t>INV0576</t>
  </si>
  <si>
    <t>INV0577</t>
  </si>
  <si>
    <t>INV0578</t>
  </si>
  <si>
    <t>INV0579</t>
  </si>
  <si>
    <t>INV0580</t>
  </si>
  <si>
    <t>INV0581</t>
  </si>
  <si>
    <t>INV0582</t>
  </si>
  <si>
    <t>INV0583</t>
  </si>
  <si>
    <t>INV0584</t>
  </si>
  <si>
    <t>INV0585</t>
  </si>
  <si>
    <t>INV0586</t>
  </si>
  <si>
    <t>INV0587</t>
  </si>
  <si>
    <t>INV0588</t>
  </si>
  <si>
    <t>INV0589</t>
  </si>
  <si>
    <t>INV0590</t>
  </si>
  <si>
    <t>INV0591</t>
  </si>
  <si>
    <t>INV0592</t>
  </si>
  <si>
    <t>INV0593</t>
  </si>
  <si>
    <t>INV0594</t>
  </si>
  <si>
    <t>INV0595</t>
  </si>
  <si>
    <t>INV0596</t>
  </si>
  <si>
    <t>INV0597</t>
  </si>
  <si>
    <t>INV0598</t>
  </si>
  <si>
    <t>INV0599</t>
  </si>
  <si>
    <t>INV0600</t>
  </si>
  <si>
    <t>INV0601</t>
  </si>
  <si>
    <t>INV0602</t>
  </si>
  <si>
    <t>INV0603</t>
  </si>
  <si>
    <t>INV0604</t>
  </si>
  <si>
    <t>INV0605</t>
  </si>
  <si>
    <t>INV0606</t>
  </si>
  <si>
    <t>INV0607</t>
  </si>
  <si>
    <t>INV0608</t>
  </si>
  <si>
    <t>INV0609</t>
  </si>
  <si>
    <t>INV0610</t>
  </si>
  <si>
    <t>INV0611</t>
  </si>
  <si>
    <t>INV0612</t>
  </si>
  <si>
    <t>INV0613</t>
  </si>
  <si>
    <t>INV0614</t>
  </si>
  <si>
    <t>INV0615</t>
  </si>
  <si>
    <t>INV0616</t>
  </si>
  <si>
    <t>INV0617</t>
  </si>
  <si>
    <t>INV0618</t>
  </si>
  <si>
    <t>INV0619</t>
  </si>
  <si>
    <t>INV0620</t>
  </si>
  <si>
    <t>INV0621</t>
  </si>
  <si>
    <t>INV0622</t>
  </si>
  <si>
    <t>INV0623</t>
  </si>
  <si>
    <t>INV0624</t>
  </si>
  <si>
    <t>INV0625</t>
  </si>
  <si>
    <t>INV0626</t>
  </si>
  <si>
    <t>INV0627</t>
  </si>
  <si>
    <t>INV0628</t>
  </si>
  <si>
    <t>INV0629</t>
  </si>
  <si>
    <t>INV0630</t>
  </si>
  <si>
    <t>INV0631</t>
  </si>
  <si>
    <t>INV0632</t>
  </si>
  <si>
    <t>INV0633</t>
  </si>
  <si>
    <t>INV0634</t>
  </si>
  <si>
    <t>INV0635</t>
  </si>
  <si>
    <t>INV0636</t>
  </si>
  <si>
    <t>INV0637</t>
  </si>
  <si>
    <t>INV0638</t>
  </si>
  <si>
    <t>INV0639</t>
  </si>
  <si>
    <t>INV0640</t>
  </si>
  <si>
    <t>INV0641</t>
  </si>
  <si>
    <t>INV0642</t>
  </si>
  <si>
    <t>INV0643</t>
  </si>
  <si>
    <t>INV0644</t>
  </si>
  <si>
    <t>INV0645</t>
  </si>
  <si>
    <t>INV0646</t>
  </si>
  <si>
    <t>INV0647</t>
  </si>
  <si>
    <t>INV0648</t>
  </si>
  <si>
    <t>INV0649</t>
  </si>
  <si>
    <t>INV0650</t>
  </si>
  <si>
    <t>INV0651</t>
  </si>
  <si>
    <t>INV0652</t>
  </si>
  <si>
    <t>INV0653</t>
  </si>
  <si>
    <t>INV0654</t>
  </si>
  <si>
    <t>INV0655</t>
  </si>
  <si>
    <t>INV0656</t>
  </si>
  <si>
    <t>INV0657</t>
  </si>
  <si>
    <t>INV0658</t>
  </si>
  <si>
    <t>INV0659</t>
  </si>
  <si>
    <t>INV0660</t>
  </si>
  <si>
    <t>INV0661</t>
  </si>
  <si>
    <t>INV0662</t>
  </si>
  <si>
    <t>INV0663</t>
  </si>
  <si>
    <t>INV0664</t>
  </si>
  <si>
    <t>INV0665</t>
  </si>
  <si>
    <t>INV0666</t>
  </si>
  <si>
    <t>INV0667</t>
  </si>
  <si>
    <t>INV0668</t>
  </si>
  <si>
    <t>INV0669</t>
  </si>
  <si>
    <t>INV0670</t>
  </si>
  <si>
    <t>INV0671</t>
  </si>
  <si>
    <t>INV0672</t>
  </si>
  <si>
    <t>INV0673</t>
  </si>
  <si>
    <t>INV0674</t>
  </si>
  <si>
    <t>INV0675</t>
  </si>
  <si>
    <t>INV0676</t>
  </si>
  <si>
    <t>INV0677</t>
  </si>
  <si>
    <t>INV0678</t>
  </si>
  <si>
    <t>INV0679</t>
  </si>
  <si>
    <t>INV0680</t>
  </si>
  <si>
    <t>INV0681</t>
  </si>
  <si>
    <t>INV0682</t>
  </si>
  <si>
    <t>INV0683</t>
  </si>
  <si>
    <t>INV0684</t>
  </si>
  <si>
    <t>INV0685</t>
  </si>
  <si>
    <t>INV0686</t>
  </si>
  <si>
    <t>INV0687</t>
  </si>
  <si>
    <t>INV0688</t>
  </si>
  <si>
    <t>INV0689</t>
  </si>
  <si>
    <t>INV0690</t>
  </si>
  <si>
    <t>INV0691</t>
  </si>
  <si>
    <t>INV0692</t>
  </si>
  <si>
    <t>INV0693</t>
  </si>
  <si>
    <t>INV0694</t>
  </si>
  <si>
    <t>INV0695</t>
  </si>
  <si>
    <t>INV0696</t>
  </si>
  <si>
    <t>INV0697</t>
  </si>
  <si>
    <t>INV0698</t>
  </si>
  <si>
    <t>INV0699</t>
  </si>
  <si>
    <t>INV0700</t>
  </si>
  <si>
    <t>INV0701</t>
  </si>
  <si>
    <t>INV0702</t>
  </si>
  <si>
    <t>INV0703</t>
  </si>
  <si>
    <t>INV0704</t>
  </si>
  <si>
    <t>INV0705</t>
  </si>
  <si>
    <t>INV0706</t>
  </si>
  <si>
    <t>INV0707</t>
  </si>
  <si>
    <t>INV0708</t>
  </si>
  <si>
    <t>INV0709</t>
  </si>
  <si>
    <t>INV0710</t>
  </si>
  <si>
    <t>INV0711</t>
  </si>
  <si>
    <t>INV0712</t>
  </si>
  <si>
    <t>INV0713</t>
  </si>
  <si>
    <t>INV0714</t>
  </si>
  <si>
    <t>INV0715</t>
  </si>
  <si>
    <t>INV0716</t>
  </si>
  <si>
    <t>INV0717</t>
  </si>
  <si>
    <t>INV0718</t>
  </si>
  <si>
    <t>INV0719</t>
  </si>
  <si>
    <t>INV0720</t>
  </si>
  <si>
    <t>INV0721</t>
  </si>
  <si>
    <t>INV0722</t>
  </si>
  <si>
    <t>INV0723</t>
  </si>
  <si>
    <t>INV0724</t>
  </si>
  <si>
    <t>INV0725</t>
  </si>
  <si>
    <t>INV0726</t>
  </si>
  <si>
    <t>INV0727</t>
  </si>
  <si>
    <t>INV0728</t>
  </si>
  <si>
    <t>INV0729</t>
  </si>
  <si>
    <t>INV0730</t>
  </si>
  <si>
    <t>INV0731</t>
  </si>
  <si>
    <t>INV0732</t>
  </si>
  <si>
    <t>INV0733</t>
  </si>
  <si>
    <t>INV0734</t>
  </si>
  <si>
    <t>INV0735</t>
  </si>
  <si>
    <t>INV0736</t>
  </si>
  <si>
    <t>INV0737</t>
  </si>
  <si>
    <t>INV0738</t>
  </si>
  <si>
    <t>INV0739</t>
  </si>
  <si>
    <t>INV0740</t>
  </si>
  <si>
    <t>INV0741</t>
  </si>
  <si>
    <t>INV0742</t>
  </si>
  <si>
    <t>INV0743</t>
  </si>
  <si>
    <t>INV0744</t>
  </si>
  <si>
    <t>INV0745</t>
  </si>
  <si>
    <t>INV0746</t>
  </si>
  <si>
    <t>INV0747</t>
  </si>
  <si>
    <t>INV0748</t>
  </si>
  <si>
    <t>INV0749</t>
  </si>
  <si>
    <t>INV0750</t>
  </si>
  <si>
    <t>INV0751</t>
  </si>
  <si>
    <t>INV0752</t>
  </si>
  <si>
    <t>INV0753</t>
  </si>
  <si>
    <t>INV0754</t>
  </si>
  <si>
    <t>INV0755</t>
  </si>
  <si>
    <t>INV0756</t>
  </si>
  <si>
    <t>INV0757</t>
  </si>
  <si>
    <t>INV0758</t>
  </si>
  <si>
    <t>INV0759</t>
  </si>
  <si>
    <t>INV0760</t>
  </si>
  <si>
    <t>INV0761</t>
  </si>
  <si>
    <t>INV0762</t>
  </si>
  <si>
    <t>INV0763</t>
  </si>
  <si>
    <t>INV0764</t>
  </si>
  <si>
    <t>INV0765</t>
  </si>
  <si>
    <t>INV0766</t>
  </si>
  <si>
    <t>INV0767</t>
  </si>
  <si>
    <t>INV0768</t>
  </si>
  <si>
    <t>INV0769</t>
  </si>
  <si>
    <t>INV0770</t>
  </si>
  <si>
    <t>INV0771</t>
  </si>
  <si>
    <t>INV0772</t>
  </si>
  <si>
    <t>INV0773</t>
  </si>
  <si>
    <t>INV0774</t>
  </si>
  <si>
    <t>INV0775</t>
  </si>
  <si>
    <t>INV0776</t>
  </si>
  <si>
    <t>INV0777</t>
  </si>
  <si>
    <t>INV0778</t>
  </si>
  <si>
    <t>INV0779</t>
  </si>
  <si>
    <t>INV0780</t>
  </si>
  <si>
    <t>INV0781</t>
  </si>
  <si>
    <t>INV0782</t>
  </si>
  <si>
    <t>INV0783</t>
  </si>
  <si>
    <t>INV0784</t>
  </si>
  <si>
    <t>INV0785</t>
  </si>
  <si>
    <t>INV0786</t>
  </si>
  <si>
    <t>INV0787</t>
  </si>
  <si>
    <t>INV0788</t>
  </si>
  <si>
    <t>INV0789</t>
  </si>
  <si>
    <t>INV0790</t>
  </si>
  <si>
    <t>INV0791</t>
  </si>
  <si>
    <t>INV0792</t>
  </si>
  <si>
    <t>INV0793</t>
  </si>
  <si>
    <t>INV0794</t>
  </si>
  <si>
    <t>INV0795</t>
  </si>
  <si>
    <t>INV0796</t>
  </si>
  <si>
    <t>INV0797</t>
  </si>
  <si>
    <t>INV0798</t>
  </si>
  <si>
    <t>INV0799</t>
  </si>
  <si>
    <t>INV0800</t>
  </si>
  <si>
    <t>INV0801</t>
  </si>
  <si>
    <t>INV0802</t>
  </si>
  <si>
    <t>INV0803</t>
  </si>
  <si>
    <t>INV0804</t>
  </si>
  <si>
    <t>INV0805</t>
  </si>
  <si>
    <t>INV0806</t>
  </si>
  <si>
    <t>INV0807</t>
  </si>
  <si>
    <t>INV0808</t>
  </si>
  <si>
    <t>INV0809</t>
  </si>
  <si>
    <t>INV0810</t>
  </si>
  <si>
    <t>INV0811</t>
  </si>
  <si>
    <t>INV0812</t>
  </si>
  <si>
    <t>INV0813</t>
  </si>
  <si>
    <t>INV0814</t>
  </si>
  <si>
    <t>INV0815</t>
  </si>
  <si>
    <t>INV0816</t>
  </si>
  <si>
    <t>INV0817</t>
  </si>
  <si>
    <t>INV0818</t>
  </si>
  <si>
    <t>INV0819</t>
  </si>
  <si>
    <t>INV0820</t>
  </si>
  <si>
    <t>INV0821</t>
  </si>
  <si>
    <t>INV0822</t>
  </si>
  <si>
    <t>INV0823</t>
  </si>
  <si>
    <t>INV0824</t>
  </si>
  <si>
    <t>INV0825</t>
  </si>
  <si>
    <t>INV0826</t>
  </si>
  <si>
    <t>INV0827</t>
  </si>
  <si>
    <t>INV0828</t>
  </si>
  <si>
    <t>INV0829</t>
  </si>
  <si>
    <t>INV0830</t>
  </si>
  <si>
    <t>INV0831</t>
  </si>
  <si>
    <t>INV0832</t>
  </si>
  <si>
    <t>INV0833</t>
  </si>
  <si>
    <t>INV0834</t>
  </si>
  <si>
    <t>INV0835</t>
  </si>
  <si>
    <t>INV0836</t>
  </si>
  <si>
    <t>INV0837</t>
  </si>
  <si>
    <t>INV0838</t>
  </si>
  <si>
    <t>INV0839</t>
  </si>
  <si>
    <t>INV0840</t>
  </si>
  <si>
    <t>INV0841</t>
  </si>
  <si>
    <t>INV0842</t>
  </si>
  <si>
    <t>INV0843</t>
  </si>
  <si>
    <t>INV0844</t>
  </si>
  <si>
    <t>INV0845</t>
  </si>
  <si>
    <t>INV0846</t>
  </si>
  <si>
    <t>INV0847</t>
  </si>
  <si>
    <t>INV0848</t>
  </si>
  <si>
    <t>INV0849</t>
  </si>
  <si>
    <t>INV0850</t>
  </si>
  <si>
    <t>INV0851</t>
  </si>
  <si>
    <t>INV0852</t>
  </si>
  <si>
    <t>INV0853</t>
  </si>
  <si>
    <t>INV0854</t>
  </si>
  <si>
    <t>INV0855</t>
  </si>
  <si>
    <t>INV0856</t>
  </si>
  <si>
    <t>INV0857</t>
  </si>
  <si>
    <t>INV0858</t>
  </si>
  <si>
    <t>INV0859</t>
  </si>
  <si>
    <t>INV0860</t>
  </si>
  <si>
    <t>INV0861</t>
  </si>
  <si>
    <t>INV0862</t>
  </si>
  <si>
    <t>INV0863</t>
  </si>
  <si>
    <t>INV0864</t>
  </si>
  <si>
    <t>INV0865</t>
  </si>
  <si>
    <t>INV0866</t>
  </si>
  <si>
    <t>INV0867</t>
  </si>
  <si>
    <t>INV0868</t>
  </si>
  <si>
    <t>INV0869</t>
  </si>
  <si>
    <t>INV0870</t>
  </si>
  <si>
    <t>INV0871</t>
  </si>
  <si>
    <t>INV0872</t>
  </si>
  <si>
    <t>INV0873</t>
  </si>
  <si>
    <t>INV0874</t>
  </si>
  <si>
    <t>INV0875</t>
  </si>
  <si>
    <t>INV0876</t>
  </si>
  <si>
    <t>INV0877</t>
  </si>
  <si>
    <t>INV0878</t>
  </si>
  <si>
    <t>INV0879</t>
  </si>
  <si>
    <t>INV0880</t>
  </si>
  <si>
    <t>INV0881</t>
  </si>
  <si>
    <t>INV0882</t>
  </si>
  <si>
    <t>INV0883</t>
  </si>
  <si>
    <t>INV0884</t>
  </si>
  <si>
    <t>INV0885</t>
  </si>
  <si>
    <t>INV0886</t>
  </si>
  <si>
    <t>INV0887</t>
  </si>
  <si>
    <t>INV0888</t>
  </si>
  <si>
    <t>INV0889</t>
  </si>
  <si>
    <t>INV0890</t>
  </si>
  <si>
    <t>INV0891</t>
  </si>
  <si>
    <t>INV0892</t>
  </si>
  <si>
    <t>INV0893</t>
  </si>
  <si>
    <t>INV0894</t>
  </si>
  <si>
    <t>INV0895</t>
  </si>
  <si>
    <t>INV0896</t>
  </si>
  <si>
    <t>INV0897</t>
  </si>
  <si>
    <t>INV0898</t>
  </si>
  <si>
    <t>INV0899</t>
  </si>
  <si>
    <t>INV0900</t>
  </si>
  <si>
    <t>INV0901</t>
  </si>
  <si>
    <t>INV0902</t>
  </si>
  <si>
    <t>INV0903</t>
  </si>
  <si>
    <t>INV0904</t>
  </si>
  <si>
    <t>INV0905</t>
  </si>
  <si>
    <t>INV0906</t>
  </si>
  <si>
    <t>INV0907</t>
  </si>
  <si>
    <t>INV0908</t>
  </si>
  <si>
    <t>INV0909</t>
  </si>
  <si>
    <t>INV0910</t>
  </si>
  <si>
    <t>INV0911</t>
  </si>
  <si>
    <t>INV0912</t>
  </si>
  <si>
    <t>INV0913</t>
  </si>
  <si>
    <t>INV0914</t>
  </si>
  <si>
    <t>INV0915</t>
  </si>
  <si>
    <t>INV0916</t>
  </si>
  <si>
    <t>INV0917</t>
  </si>
  <si>
    <t>INV0918</t>
  </si>
  <si>
    <t>INV0919</t>
  </si>
  <si>
    <t>INV0920</t>
  </si>
  <si>
    <t>INV0921</t>
  </si>
  <si>
    <t>INV0922</t>
  </si>
  <si>
    <t>INV0923</t>
  </si>
  <si>
    <t>INV0924</t>
  </si>
  <si>
    <t>INV0925</t>
  </si>
  <si>
    <t>INV0926</t>
  </si>
  <si>
    <t>INV0927</t>
  </si>
  <si>
    <t>INV0928</t>
  </si>
  <si>
    <t>INV0929</t>
  </si>
  <si>
    <t>INV0930</t>
  </si>
  <si>
    <t>INV0931</t>
  </si>
  <si>
    <t>INV0932</t>
  </si>
  <si>
    <t>INV0933</t>
  </si>
  <si>
    <t>INV0934</t>
  </si>
  <si>
    <t>INV0935</t>
  </si>
  <si>
    <t>INV0936</t>
  </si>
  <si>
    <t>INV0937</t>
  </si>
  <si>
    <t>INV0938</t>
  </si>
  <si>
    <t>INV0939</t>
  </si>
  <si>
    <t>INV0940</t>
  </si>
  <si>
    <t>INV0941</t>
  </si>
  <si>
    <t>INV0942</t>
  </si>
  <si>
    <t>INV0943</t>
  </si>
  <si>
    <t>INV0944</t>
  </si>
  <si>
    <t>INV0945</t>
  </si>
  <si>
    <t>INV0946</t>
  </si>
  <si>
    <t>INV0947</t>
  </si>
  <si>
    <t>INV0948</t>
  </si>
  <si>
    <t>INV0949</t>
  </si>
  <si>
    <t>INV0950</t>
  </si>
  <si>
    <t>INV0951</t>
  </si>
  <si>
    <t>INV0952</t>
  </si>
  <si>
    <t>INV0953</t>
  </si>
  <si>
    <t>INV0954</t>
  </si>
  <si>
    <t>INV0955</t>
  </si>
  <si>
    <t>INV0956</t>
  </si>
  <si>
    <t>INV0957</t>
  </si>
  <si>
    <t>INV0958</t>
  </si>
  <si>
    <t>INV0959</t>
  </si>
  <si>
    <t>INV0960</t>
  </si>
  <si>
    <t>INV0961</t>
  </si>
  <si>
    <t>INV0962</t>
  </si>
  <si>
    <t>INV0963</t>
  </si>
  <si>
    <t>INV0964</t>
  </si>
  <si>
    <t>INV0965</t>
  </si>
  <si>
    <t>INV0966</t>
  </si>
  <si>
    <t>INV0967</t>
  </si>
  <si>
    <t>INV0968</t>
  </si>
  <si>
    <t>INV0969</t>
  </si>
  <si>
    <t>INV0970</t>
  </si>
  <si>
    <t>INV0971</t>
  </si>
  <si>
    <t>INV0972</t>
  </si>
  <si>
    <t>INV0973</t>
  </si>
  <si>
    <t>INV0974</t>
  </si>
  <si>
    <t>INV0975</t>
  </si>
  <si>
    <t>INV0976</t>
  </si>
  <si>
    <t>INV0977</t>
  </si>
  <si>
    <t>INV0978</t>
  </si>
  <si>
    <t>INV0979</t>
  </si>
  <si>
    <t>INV0980</t>
  </si>
  <si>
    <t>INV0981</t>
  </si>
  <si>
    <t>INV0982</t>
  </si>
  <si>
    <t>INV0983</t>
  </si>
  <si>
    <t>INV0984</t>
  </si>
  <si>
    <t>INV0985</t>
  </si>
  <si>
    <t>INV0986</t>
  </si>
  <si>
    <t>INV0987</t>
  </si>
  <si>
    <t>INV0988</t>
  </si>
  <si>
    <t>INV0989</t>
  </si>
  <si>
    <t>INV0990</t>
  </si>
  <si>
    <t>INV0991</t>
  </si>
  <si>
    <t>INV0992</t>
  </si>
  <si>
    <t>INV0993</t>
  </si>
  <si>
    <t>INV0994</t>
  </si>
  <si>
    <t>INV0995</t>
  </si>
  <si>
    <t>INV0996</t>
  </si>
  <si>
    <t>INV0997</t>
  </si>
  <si>
    <t>INV0998</t>
  </si>
  <si>
    <t>INV0999</t>
  </si>
  <si>
    <t>INV1000</t>
  </si>
  <si>
    <t>Product_Line</t>
  </si>
  <si>
    <t>💰 Total Sales</t>
  </si>
  <si>
    <t>📈 Average Sales</t>
  </si>
  <si>
    <t>🔼 Maximum Billing</t>
  </si>
  <si>
    <t>🔽Minimum bill</t>
  </si>
  <si>
    <t>☯️Total Records</t>
  </si>
  <si>
    <t>Row Labels</t>
  </si>
  <si>
    <t>Grand Total</t>
  </si>
  <si>
    <t>Sum of Total_Sales</t>
  </si>
  <si>
    <t>Count of Product_Line</t>
  </si>
  <si>
    <t>Count of Payment</t>
  </si>
  <si>
    <t>Count of Invoice_ID</t>
  </si>
  <si>
    <t>💵 Total Transcations</t>
  </si>
  <si>
    <t xml:space="preserve">💰 The payment method used are Credit Card, UPI, Debit Card, Cash. </t>
  </si>
  <si>
    <t>📍 Mumbai City has the largest number of customers.</t>
  </si>
  <si>
    <t>⚡ Electronics is the most frequently appearing product lines.</t>
  </si>
  <si>
    <t>🗺️ Mumbai Branch generated the highest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</si>
</sst>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20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4" fontId="0" fillId="0" borderId="0" xfId="0" applyNumberFormat="1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1" fillId="9" borderId="0" xfId="0" applyFont="1" applyFill="1"/>
    <xf numFmtId="0" fontId="1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1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</cellXfs>
  <cellStyles count="1">
    <cellStyle name="Normal" xfId="0" builtinId="0"/>
  </cellStyles>
  <dxfs count="6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[Supermarket_Sales_Data_Cleaned.xlsx]2} High Sales By Branch!PivotTable1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'2} High Sales By Branch'!$B$3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'2} High Sales By Branch'!$A$4:$A$10</c:f>
              <c:strCache>
                <c:ptCount val="6"/>
                <c:pt idx="0">
                  <c:v>Mumbai Branch</c:v>
                </c:pt>
                <c:pt idx="1">
                  <c:v>Bangalore Branch</c:v>
                </c:pt>
                <c:pt idx="2">
                  <c:v>Hyderabad Branch</c:v>
                </c:pt>
                <c:pt idx="3">
                  <c:v>Pune Branch</c:v>
                </c:pt>
                <c:pt idx="4">
                  <c:v>Delhi Branch</c:v>
                </c:pt>
                <c:pt idx="5">
                  <c:v>Chennai Branch</c:v>
                </c:pt>
              </c:strCache>
            </c:strRef>
          </c:cat>
          <c:val>
            <c:numRef>
              <c:f>'2} High Sales By Branch'!$B$4:$B$10</c:f>
              <c:numCache>
                <c:formatCode>General</c:formatCode>
                <c:ptCount val="6"/>
                <c:pt idx="0">
                  <c:v>7877998.7999999989</c:v>
                </c:pt>
                <c:pt idx="1">
                  <c:v>5874241.2100000028</c:v>
                </c:pt>
                <c:pt idx="2">
                  <c:v>5682010.2299999967</c:v>
                </c:pt>
                <c:pt idx="3">
                  <c:v>5459157.8300000001</c:v>
                </c:pt>
                <c:pt idx="4">
                  <c:v>5062694.0500000007</c:v>
                </c:pt>
                <c:pt idx="5">
                  <c:v>4020459.4299999983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0-4B11-9E03-7D86E841C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74351"/>
        <c:axId val="2101173136"/>
      </c:barChart>
      <c:catAx>
        <c:axId val="14674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173136"/>
        <c:crosses val="autoZero"/>
        <c:auto val="1"/>
        <c:lblAlgn val="ctr"/>
        <c:lblOffset val="100"/>
        <c:noMultiLvlLbl val="0"/>
      </c:catAx>
      <c:valAx>
        <c:axId val="21011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74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[Supermarket_Sales_Data_Cleaned.xlsx]5} Largerst Customer by City!PivotTable4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'5} Largerst Customer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'5} Largerst Customer by City'!$A$4:$A$10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'5} Largerst Customer by City'!$B$4:$B$10</c:f>
              <c:numCache>
                <c:formatCode>General</c:formatCode>
                <c:ptCount val="6"/>
                <c:pt idx="0">
                  <c:v>161</c:v>
                </c:pt>
                <c:pt idx="1">
                  <c:v>118</c:v>
                </c:pt>
                <c:pt idx="2">
                  <c:v>169</c:v>
                </c:pt>
                <c:pt idx="3">
                  <c:v>166</c:v>
                </c:pt>
                <c:pt idx="4">
                  <c:v>233</c:v>
                </c:pt>
                <c:pt idx="5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57-42AA-8E54-9A4A795AC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265455"/>
        <c:axId val="2101227856"/>
      </c:barChart>
      <c:catAx>
        <c:axId val="43265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27856"/>
        <c:crosses val="autoZero"/>
        <c:auto val="1"/>
        <c:lblAlgn val="ctr"/>
        <c:lblOffset val="100"/>
        <c:noMultiLvlLbl val="0"/>
      </c:catAx>
      <c:valAx>
        <c:axId val="210122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5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1</xdr:row>
      <xdr:rowOff>80010</xdr:rowOff>
    </xdr:from>
    <xdr:to>
      <xdr:col>13</xdr:col>
      <xdr:colOff>160020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30F1C-B144-C707-F285-C757778772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1</xdr:row>
      <xdr:rowOff>125730</xdr:rowOff>
    </xdr:from>
    <xdr:to>
      <xdr:col>11</xdr:col>
      <xdr:colOff>182880</xdr:colOff>
      <xdr:row>18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8E9B1D-E123-8582-CE0E-B6ADD6429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sh pal" refreshedDate="46244.754429629633" createdVersion="8" refreshedVersion="8" minRefreshableVersion="3" recordCount="1000" xr:uid="{555C1352-2F02-4479-A917-5E7A60B38788}">
  <cacheSource type="worksheet">
    <worksheetSource name="Supermarket_Sales_1000_Rows"/>
  </cacheSource>
  <cacheFields count="11">
    <cacheField name="Invoice_ID" numFmtId="0">
      <sharedItems count="1000">
        <s v="INV0001"/>
        <s v="INV0002"/>
        <s v="INV0003"/>
        <s v="INV0004"/>
        <s v="INV0005"/>
        <s v="INV0006"/>
        <s v="INV0007"/>
        <s v="INV0008"/>
        <s v="INV0009"/>
        <s v="INV0010"/>
        <s v="INV0011"/>
        <s v="INV0012"/>
        <s v="INV0013"/>
        <s v="INV0014"/>
        <s v="INV0015"/>
        <s v="INV0016"/>
        <s v="INV0017"/>
        <s v="INV0018"/>
        <s v="INV0019"/>
        <s v="INV0020"/>
        <s v="INV0021"/>
        <s v="INV0022"/>
        <s v="INV0023"/>
        <s v="INV0024"/>
        <s v="INV0025"/>
        <s v="INV0026"/>
        <s v="INV0027"/>
        <s v="INV0028"/>
        <s v="INV0029"/>
        <s v="INV0030"/>
        <s v="INV0031"/>
        <s v="INV0032"/>
        <s v="INV0033"/>
        <s v="INV0034"/>
        <s v="INV0035"/>
        <s v="INV0036"/>
        <s v="INV0037"/>
        <s v="INV0038"/>
        <s v="INV0039"/>
        <s v="INV0040"/>
        <s v="INV0041"/>
        <s v="INV0042"/>
        <s v="INV0043"/>
        <s v="INV0044"/>
        <s v="INV0045"/>
        <s v="INV0046"/>
        <s v="INV0047"/>
        <s v="INV0048"/>
        <s v="INV0049"/>
        <s v="INV0050"/>
        <s v="INV0051"/>
        <s v="INV0052"/>
        <s v="INV0053"/>
        <s v="INV0054"/>
        <s v="INV0055"/>
        <s v="INV0056"/>
        <s v="INV0057"/>
        <s v="INV0058"/>
        <s v="INV0059"/>
        <s v="INV0060"/>
        <s v="INV0061"/>
        <s v="INV0062"/>
        <s v="INV0063"/>
        <s v="INV0064"/>
        <s v="INV0065"/>
        <s v="INV0066"/>
        <s v="INV0067"/>
        <s v="INV0068"/>
        <s v="INV0069"/>
        <s v="INV0070"/>
        <s v="INV0071"/>
        <s v="INV0072"/>
        <s v="INV0073"/>
        <s v="INV0074"/>
        <s v="INV0075"/>
        <s v="INV0076"/>
        <s v="INV0077"/>
        <s v="INV0078"/>
        <s v="INV0079"/>
        <s v="INV0080"/>
        <s v="INV0081"/>
        <s v="INV0082"/>
        <s v="INV0083"/>
        <s v="INV0084"/>
        <s v="INV0085"/>
        <s v="INV0086"/>
        <s v="INV0087"/>
        <s v="INV0088"/>
        <s v="INV0089"/>
        <s v="INV0090"/>
        <s v="INV0091"/>
        <s v="INV0092"/>
        <s v="INV0093"/>
        <s v="INV0094"/>
        <s v="INV0095"/>
        <s v="INV0096"/>
        <s v="INV0097"/>
        <s v="INV0098"/>
        <s v="INV0099"/>
        <s v="INV0100"/>
        <s v="INV0101"/>
        <s v="INV0102"/>
        <s v="INV0103"/>
        <s v="INV0104"/>
        <s v="INV0105"/>
        <s v="INV0106"/>
        <s v="INV0107"/>
        <s v="INV0108"/>
        <s v="INV0109"/>
        <s v="INV0110"/>
        <s v="INV0111"/>
        <s v="INV0112"/>
        <s v="INV0113"/>
        <s v="INV0114"/>
        <s v="INV0115"/>
        <s v="INV0116"/>
        <s v="INV0117"/>
        <s v="INV0118"/>
        <s v="INV0119"/>
        <s v="INV0120"/>
        <s v="INV0121"/>
        <s v="INV0122"/>
        <s v="INV0123"/>
        <s v="INV0124"/>
        <s v="INV0125"/>
        <s v="INV0126"/>
        <s v="INV0127"/>
        <s v="INV0128"/>
        <s v="INV0129"/>
        <s v="INV0130"/>
        <s v="INV0131"/>
        <s v="INV0132"/>
        <s v="INV0133"/>
        <s v="INV0134"/>
        <s v="INV0135"/>
        <s v="INV0136"/>
        <s v="INV0137"/>
        <s v="INV0138"/>
        <s v="INV0139"/>
        <s v="INV0140"/>
        <s v="INV0141"/>
        <s v="INV0142"/>
        <s v="INV0143"/>
        <s v="INV0144"/>
        <s v="INV0145"/>
        <s v="INV0146"/>
        <s v="INV0147"/>
        <s v="INV0148"/>
        <s v="INV0149"/>
        <s v="INV0150"/>
        <s v="INV0151"/>
        <s v="INV0152"/>
        <s v="INV0153"/>
        <s v="INV0154"/>
        <s v="INV0155"/>
        <s v="INV0156"/>
        <s v="INV0157"/>
        <s v="INV0158"/>
        <s v="INV0159"/>
        <s v="INV0160"/>
        <s v="INV0161"/>
        <s v="INV0162"/>
        <s v="INV0163"/>
        <s v="INV0164"/>
        <s v="INV0165"/>
        <s v="INV0166"/>
        <s v="INV0167"/>
        <s v="INV0168"/>
        <s v="INV0169"/>
        <s v="INV0170"/>
        <s v="INV0171"/>
        <s v="INV0172"/>
        <s v="INV0173"/>
        <s v="INV0174"/>
        <s v="INV0175"/>
        <s v="INV0176"/>
        <s v="INV0177"/>
        <s v="INV0178"/>
        <s v="INV0179"/>
        <s v="INV0180"/>
        <s v="INV0181"/>
        <s v="INV0182"/>
        <s v="INV0183"/>
        <s v="INV0184"/>
        <s v="INV0185"/>
        <s v="INV0186"/>
        <s v="INV0187"/>
        <s v="INV0188"/>
        <s v="INV0189"/>
        <s v="INV0190"/>
        <s v="INV0191"/>
        <s v="INV0192"/>
        <s v="INV0193"/>
        <s v="INV0194"/>
        <s v="INV0195"/>
        <s v="INV0196"/>
        <s v="INV0197"/>
        <s v="INV0198"/>
        <s v="INV0199"/>
        <s v="INV0200"/>
        <s v="INV0201"/>
        <s v="INV0202"/>
        <s v="INV0203"/>
        <s v="INV0204"/>
        <s v="INV0205"/>
        <s v="INV0206"/>
        <s v="INV0207"/>
        <s v="INV0208"/>
        <s v="INV0209"/>
        <s v="INV0210"/>
        <s v="INV0211"/>
        <s v="INV0212"/>
        <s v="INV0213"/>
        <s v="INV0214"/>
        <s v="INV0215"/>
        <s v="INV0216"/>
        <s v="INV0217"/>
        <s v="INV0218"/>
        <s v="INV0219"/>
        <s v="INV0220"/>
        <s v="INV0221"/>
        <s v="INV0222"/>
        <s v="INV0223"/>
        <s v="INV0224"/>
        <s v="INV0225"/>
        <s v="INV0226"/>
        <s v="INV0227"/>
        <s v="INV0228"/>
        <s v="INV0229"/>
        <s v="INV0230"/>
        <s v="INV0231"/>
        <s v="INV0232"/>
        <s v="INV0233"/>
        <s v="INV0234"/>
        <s v="INV0235"/>
        <s v="INV0236"/>
        <s v="INV0237"/>
        <s v="INV0238"/>
        <s v="INV0239"/>
        <s v="INV0240"/>
        <s v="INV0241"/>
        <s v="INV0242"/>
        <s v="INV0243"/>
        <s v="INV0244"/>
        <s v="INV0245"/>
        <s v="INV0246"/>
        <s v="INV0247"/>
        <s v="INV0248"/>
        <s v="INV0249"/>
        <s v="INV0250"/>
        <s v="INV0251"/>
        <s v="INV0252"/>
        <s v="INV0253"/>
        <s v="INV0254"/>
        <s v="INV0255"/>
        <s v="INV0256"/>
        <s v="INV0257"/>
        <s v="INV0258"/>
        <s v="INV0259"/>
        <s v="INV0260"/>
        <s v="INV0261"/>
        <s v="INV0262"/>
        <s v="INV0263"/>
        <s v="INV0264"/>
        <s v="INV0265"/>
        <s v="INV0266"/>
        <s v="INV0267"/>
        <s v="INV0268"/>
        <s v="INV0269"/>
        <s v="INV0270"/>
        <s v="INV0271"/>
        <s v="INV0272"/>
        <s v="INV0273"/>
        <s v="INV0274"/>
        <s v="INV0275"/>
        <s v="INV0276"/>
        <s v="INV0277"/>
        <s v="INV0278"/>
        <s v="INV0279"/>
        <s v="INV0280"/>
        <s v="INV0281"/>
        <s v="INV0282"/>
        <s v="INV0283"/>
        <s v="INV0284"/>
        <s v="INV0285"/>
        <s v="INV0286"/>
        <s v="INV0287"/>
        <s v="INV0288"/>
        <s v="INV0289"/>
        <s v="INV0290"/>
        <s v="INV0291"/>
        <s v="INV0292"/>
        <s v="INV0293"/>
        <s v="INV0294"/>
        <s v="INV0295"/>
        <s v="INV0296"/>
        <s v="INV0297"/>
        <s v="INV0298"/>
        <s v="INV0299"/>
        <s v="INV0300"/>
        <s v="INV0301"/>
        <s v="INV0302"/>
        <s v="INV0303"/>
        <s v="INV0304"/>
        <s v="INV0305"/>
        <s v="INV0306"/>
        <s v="INV0307"/>
        <s v="INV0308"/>
        <s v="INV0309"/>
        <s v="INV0310"/>
        <s v="INV0311"/>
        <s v="INV0312"/>
        <s v="INV0313"/>
        <s v="INV0314"/>
        <s v="INV0315"/>
        <s v="INV0316"/>
        <s v="INV0317"/>
        <s v="INV0318"/>
        <s v="INV0319"/>
        <s v="INV0320"/>
        <s v="INV0321"/>
        <s v="INV0322"/>
        <s v="INV0323"/>
        <s v="INV0324"/>
        <s v="INV0325"/>
        <s v="INV0326"/>
        <s v="INV0327"/>
        <s v="INV0328"/>
        <s v="INV0329"/>
        <s v="INV0330"/>
        <s v="INV0331"/>
        <s v="INV0332"/>
        <s v="INV0333"/>
        <s v="INV0334"/>
        <s v="INV0335"/>
        <s v="INV0336"/>
        <s v="INV0337"/>
        <s v="INV0338"/>
        <s v="INV0339"/>
        <s v="INV0340"/>
        <s v="INV0341"/>
        <s v="INV0342"/>
        <s v="INV0343"/>
        <s v="INV0344"/>
        <s v="INV0345"/>
        <s v="INV0346"/>
        <s v="INV0347"/>
        <s v="INV0348"/>
        <s v="INV0349"/>
        <s v="INV0350"/>
        <s v="INV0351"/>
        <s v="INV0352"/>
        <s v="INV0353"/>
        <s v="INV0354"/>
        <s v="INV0355"/>
        <s v="INV0356"/>
        <s v="INV0357"/>
        <s v="INV0358"/>
        <s v="INV0359"/>
        <s v="INV0360"/>
        <s v="INV0361"/>
        <s v="INV0362"/>
        <s v="INV0363"/>
        <s v="INV0364"/>
        <s v="INV0365"/>
        <s v="INV0366"/>
        <s v="INV0367"/>
        <s v="INV0368"/>
        <s v="INV0369"/>
        <s v="INV0370"/>
        <s v="INV0371"/>
        <s v="INV0372"/>
        <s v="INV0373"/>
        <s v="INV0374"/>
        <s v="INV0375"/>
        <s v="INV0376"/>
        <s v="INV0377"/>
        <s v="INV0378"/>
        <s v="INV0379"/>
        <s v="INV0380"/>
        <s v="INV0381"/>
        <s v="INV0382"/>
        <s v="INV0383"/>
        <s v="INV0384"/>
        <s v="INV0385"/>
        <s v="INV0386"/>
        <s v="INV0387"/>
        <s v="INV0388"/>
        <s v="INV0389"/>
        <s v="INV0390"/>
        <s v="INV0391"/>
        <s v="INV0392"/>
        <s v="INV0393"/>
        <s v="INV0394"/>
        <s v="INV0395"/>
        <s v="INV0396"/>
        <s v="INV0397"/>
        <s v="INV0398"/>
        <s v="INV0399"/>
        <s v="INV0400"/>
        <s v="INV0401"/>
        <s v="INV0402"/>
        <s v="INV0403"/>
        <s v="INV0404"/>
        <s v="INV0405"/>
        <s v="INV0406"/>
        <s v="INV0407"/>
        <s v="INV0408"/>
        <s v="INV0409"/>
        <s v="INV0410"/>
        <s v="INV0411"/>
        <s v="INV0412"/>
        <s v="INV0413"/>
        <s v="INV0414"/>
        <s v="INV0415"/>
        <s v="INV0416"/>
        <s v="INV0417"/>
        <s v="INV0418"/>
        <s v="INV0419"/>
        <s v="INV0420"/>
        <s v="INV0421"/>
        <s v="INV0422"/>
        <s v="INV0423"/>
        <s v="INV0424"/>
        <s v="INV0425"/>
        <s v="INV0426"/>
        <s v="INV0427"/>
        <s v="INV0428"/>
        <s v="INV0429"/>
        <s v="INV0430"/>
        <s v="INV0431"/>
        <s v="INV0432"/>
        <s v="INV0433"/>
        <s v="INV0434"/>
        <s v="INV0435"/>
        <s v="INV0436"/>
        <s v="INV0437"/>
        <s v="INV0438"/>
        <s v="INV0439"/>
        <s v="INV0440"/>
        <s v="INV0441"/>
        <s v="INV0442"/>
        <s v="INV0443"/>
        <s v="INV0444"/>
        <s v="INV0445"/>
        <s v="INV0446"/>
        <s v="INV0447"/>
        <s v="INV0448"/>
        <s v="INV0449"/>
        <s v="INV0450"/>
        <s v="INV0451"/>
        <s v="INV0452"/>
        <s v="INV0453"/>
        <s v="INV0454"/>
        <s v="INV0455"/>
        <s v="INV0456"/>
        <s v="INV0457"/>
        <s v="INV0458"/>
        <s v="INV0459"/>
        <s v="INV0460"/>
        <s v="INV0461"/>
        <s v="INV0462"/>
        <s v="INV0463"/>
        <s v="INV0464"/>
        <s v="INV0465"/>
        <s v="INV0466"/>
        <s v="INV0467"/>
        <s v="INV0468"/>
        <s v="INV0469"/>
        <s v="INV0470"/>
        <s v="INV0471"/>
        <s v="INV0472"/>
        <s v="INV0473"/>
        <s v="INV0474"/>
        <s v="INV0475"/>
        <s v="INV0476"/>
        <s v="INV0477"/>
        <s v="INV0478"/>
        <s v="INV0479"/>
        <s v="INV0480"/>
        <s v="INV0481"/>
        <s v="INV0482"/>
        <s v="INV0483"/>
        <s v="INV0484"/>
        <s v="INV0485"/>
        <s v="INV0486"/>
        <s v="INV0487"/>
        <s v="INV0488"/>
        <s v="INV0489"/>
        <s v="INV0490"/>
        <s v="INV0491"/>
        <s v="INV0492"/>
        <s v="INV0493"/>
        <s v="INV0494"/>
        <s v="INV0495"/>
        <s v="INV0496"/>
        <s v="INV0497"/>
        <s v="INV0498"/>
        <s v="INV0499"/>
        <s v="INV0500"/>
        <s v="INV0501"/>
        <s v="INV0502"/>
        <s v="INV0503"/>
        <s v="INV0504"/>
        <s v="INV0505"/>
        <s v="INV0506"/>
        <s v="INV0507"/>
        <s v="INV0508"/>
        <s v="INV0509"/>
        <s v="INV0510"/>
        <s v="INV0511"/>
        <s v="INV0512"/>
        <s v="INV0513"/>
        <s v="INV0514"/>
        <s v="INV0515"/>
        <s v="INV0516"/>
        <s v="INV0517"/>
        <s v="INV0518"/>
        <s v="INV0519"/>
        <s v="INV0520"/>
        <s v="INV0521"/>
        <s v="INV0522"/>
        <s v="INV0523"/>
        <s v="INV0524"/>
        <s v="INV0525"/>
        <s v="INV0526"/>
        <s v="INV0527"/>
        <s v="INV0528"/>
        <s v="INV0529"/>
        <s v="INV0530"/>
        <s v="INV0531"/>
        <s v="INV0532"/>
        <s v="INV0533"/>
        <s v="INV0534"/>
        <s v="INV0535"/>
        <s v="INV0536"/>
        <s v="INV0537"/>
        <s v="INV0538"/>
        <s v="INV0539"/>
        <s v="INV0540"/>
        <s v="INV0541"/>
        <s v="INV0542"/>
        <s v="INV0543"/>
        <s v="INV0544"/>
        <s v="INV0545"/>
        <s v="INV0546"/>
        <s v="INV0547"/>
        <s v="INV0548"/>
        <s v="INV0549"/>
        <s v="INV0550"/>
        <s v="INV0551"/>
        <s v="INV0552"/>
        <s v="INV0553"/>
        <s v="INV0554"/>
        <s v="INV0555"/>
        <s v="INV0556"/>
        <s v="INV0557"/>
        <s v="INV0558"/>
        <s v="INV0559"/>
        <s v="INV0560"/>
        <s v="INV0561"/>
        <s v="INV0562"/>
        <s v="INV0563"/>
        <s v="INV0564"/>
        <s v="INV0565"/>
        <s v="INV0566"/>
        <s v="INV0567"/>
        <s v="INV0568"/>
        <s v="INV0569"/>
        <s v="INV0570"/>
        <s v="INV0571"/>
        <s v="INV0572"/>
        <s v="INV0573"/>
        <s v="INV0574"/>
        <s v="INV0575"/>
        <s v="INV0576"/>
        <s v="INV0577"/>
        <s v="INV0578"/>
        <s v="INV0579"/>
        <s v="INV0580"/>
        <s v="INV0581"/>
        <s v="INV0582"/>
        <s v="INV0583"/>
        <s v="INV0584"/>
        <s v="INV0585"/>
        <s v="INV0586"/>
        <s v="INV0587"/>
        <s v="INV0588"/>
        <s v="INV0589"/>
        <s v="INV0590"/>
        <s v="INV0591"/>
        <s v="INV0592"/>
        <s v="INV0593"/>
        <s v="INV0594"/>
        <s v="INV0595"/>
        <s v="INV0596"/>
        <s v="INV0597"/>
        <s v="INV0598"/>
        <s v="INV0599"/>
        <s v="INV0600"/>
        <s v="INV0601"/>
        <s v="INV0602"/>
        <s v="INV0603"/>
        <s v="INV0604"/>
        <s v="INV0605"/>
        <s v="INV0606"/>
        <s v="INV0607"/>
        <s v="INV0608"/>
        <s v="INV0609"/>
        <s v="INV0610"/>
        <s v="INV0611"/>
        <s v="INV0612"/>
        <s v="INV0613"/>
        <s v="INV0614"/>
        <s v="INV0615"/>
        <s v="INV0616"/>
        <s v="INV0617"/>
        <s v="INV0618"/>
        <s v="INV0619"/>
        <s v="INV0620"/>
        <s v="INV0621"/>
        <s v="INV0622"/>
        <s v="INV0623"/>
        <s v="INV0624"/>
        <s v="INV0625"/>
        <s v="INV0626"/>
        <s v="INV0627"/>
        <s v="INV0628"/>
        <s v="INV0629"/>
        <s v="INV0630"/>
        <s v="INV0631"/>
        <s v="INV0632"/>
        <s v="INV0633"/>
        <s v="INV0634"/>
        <s v="INV0635"/>
        <s v="INV0636"/>
        <s v="INV0637"/>
        <s v="INV0638"/>
        <s v="INV0639"/>
        <s v="INV0640"/>
        <s v="INV0641"/>
        <s v="INV0642"/>
        <s v="INV0643"/>
        <s v="INV0644"/>
        <s v="INV0645"/>
        <s v="INV0646"/>
        <s v="INV0647"/>
        <s v="INV0648"/>
        <s v="INV0649"/>
        <s v="INV0650"/>
        <s v="INV0651"/>
        <s v="INV0652"/>
        <s v="INV0653"/>
        <s v="INV0654"/>
        <s v="INV0655"/>
        <s v="INV0656"/>
        <s v="INV0657"/>
        <s v="INV0658"/>
        <s v="INV0659"/>
        <s v="INV0660"/>
        <s v="INV0661"/>
        <s v="INV0662"/>
        <s v="INV0663"/>
        <s v="INV0664"/>
        <s v="INV0665"/>
        <s v="INV0666"/>
        <s v="INV0667"/>
        <s v="INV0668"/>
        <s v="INV0669"/>
        <s v="INV0670"/>
        <s v="INV0671"/>
        <s v="INV0672"/>
        <s v="INV0673"/>
        <s v="INV0674"/>
        <s v="INV0675"/>
        <s v="INV0676"/>
        <s v="INV0677"/>
        <s v="INV0678"/>
        <s v="INV0679"/>
        <s v="INV0680"/>
        <s v="INV0681"/>
        <s v="INV0682"/>
        <s v="INV0683"/>
        <s v="INV0684"/>
        <s v="INV0685"/>
        <s v="INV0686"/>
        <s v="INV0687"/>
        <s v="INV0688"/>
        <s v="INV0689"/>
        <s v="INV0690"/>
        <s v="INV0691"/>
        <s v="INV0692"/>
        <s v="INV0693"/>
        <s v="INV0694"/>
        <s v="INV0695"/>
        <s v="INV0696"/>
        <s v="INV0697"/>
        <s v="INV0698"/>
        <s v="INV0699"/>
        <s v="INV0700"/>
        <s v="INV0701"/>
        <s v="INV0702"/>
        <s v="INV0703"/>
        <s v="INV0704"/>
        <s v="INV0705"/>
        <s v="INV0706"/>
        <s v="INV0707"/>
        <s v="INV0708"/>
        <s v="INV0709"/>
        <s v="INV0710"/>
        <s v="INV0711"/>
        <s v="INV0712"/>
        <s v="INV0713"/>
        <s v="INV0714"/>
        <s v="INV0715"/>
        <s v="INV0716"/>
        <s v="INV0717"/>
        <s v="INV0718"/>
        <s v="INV0719"/>
        <s v="INV0720"/>
        <s v="INV0721"/>
        <s v="INV0722"/>
        <s v="INV0723"/>
        <s v="INV0724"/>
        <s v="INV0725"/>
        <s v="INV0726"/>
        <s v="INV0727"/>
        <s v="INV0728"/>
        <s v="INV0729"/>
        <s v="INV0730"/>
        <s v="INV0731"/>
        <s v="INV0732"/>
        <s v="INV0733"/>
        <s v="INV0734"/>
        <s v="INV0735"/>
        <s v="INV0736"/>
        <s v="INV0737"/>
        <s v="INV0738"/>
        <s v="INV0739"/>
        <s v="INV0740"/>
        <s v="INV0741"/>
        <s v="INV0742"/>
        <s v="INV0743"/>
        <s v="INV0744"/>
        <s v="INV0745"/>
        <s v="INV0746"/>
        <s v="INV0747"/>
        <s v="INV0748"/>
        <s v="INV0749"/>
        <s v="INV0750"/>
        <s v="INV0751"/>
        <s v="INV0752"/>
        <s v="INV0753"/>
        <s v="INV0754"/>
        <s v="INV0755"/>
        <s v="INV0756"/>
        <s v="INV0757"/>
        <s v="INV0758"/>
        <s v="INV0759"/>
        <s v="INV0760"/>
        <s v="INV0761"/>
        <s v="INV0762"/>
        <s v="INV0763"/>
        <s v="INV0764"/>
        <s v="INV0765"/>
        <s v="INV0766"/>
        <s v="INV0767"/>
        <s v="INV0768"/>
        <s v="INV0769"/>
        <s v="INV0770"/>
        <s v="INV0771"/>
        <s v="INV0772"/>
        <s v="INV0773"/>
        <s v="INV0774"/>
        <s v="INV0775"/>
        <s v="INV0776"/>
        <s v="INV0777"/>
        <s v="INV0778"/>
        <s v="INV0779"/>
        <s v="INV0780"/>
        <s v="INV0781"/>
        <s v="INV0782"/>
        <s v="INV0783"/>
        <s v="INV0784"/>
        <s v="INV0785"/>
        <s v="INV0786"/>
        <s v="INV0787"/>
        <s v="INV0788"/>
        <s v="INV0789"/>
        <s v="INV0790"/>
        <s v="INV0791"/>
        <s v="INV0792"/>
        <s v="INV0793"/>
        <s v="INV0794"/>
        <s v="INV0795"/>
        <s v="INV0796"/>
        <s v="INV0797"/>
        <s v="INV0798"/>
        <s v="INV0799"/>
        <s v="INV0800"/>
        <s v="INV0801"/>
        <s v="INV0802"/>
        <s v="INV0803"/>
        <s v="INV0804"/>
        <s v="INV0805"/>
        <s v="INV0806"/>
        <s v="INV0807"/>
        <s v="INV0808"/>
        <s v="INV0809"/>
        <s v="INV0810"/>
        <s v="INV0811"/>
        <s v="INV0812"/>
        <s v="INV0813"/>
        <s v="INV0814"/>
        <s v="INV0815"/>
        <s v="INV0816"/>
        <s v="INV0817"/>
        <s v="INV0818"/>
        <s v="INV0819"/>
        <s v="INV0820"/>
        <s v="INV0821"/>
        <s v="INV0822"/>
        <s v="INV0823"/>
        <s v="INV0824"/>
        <s v="INV0825"/>
        <s v="INV0826"/>
        <s v="INV0827"/>
        <s v="INV0828"/>
        <s v="INV0829"/>
        <s v="INV0830"/>
        <s v="INV0831"/>
        <s v="INV0832"/>
        <s v="INV0833"/>
        <s v="INV0834"/>
        <s v="INV0835"/>
        <s v="INV0836"/>
        <s v="INV0837"/>
        <s v="INV0838"/>
        <s v="INV0839"/>
        <s v="INV0840"/>
        <s v="INV0841"/>
        <s v="INV0842"/>
        <s v="INV0843"/>
        <s v="INV0844"/>
        <s v="INV0845"/>
        <s v="INV0846"/>
        <s v="INV0847"/>
        <s v="INV0848"/>
        <s v="INV0849"/>
        <s v="INV0850"/>
        <s v="INV0851"/>
        <s v="INV0852"/>
        <s v="INV0853"/>
        <s v="INV0854"/>
        <s v="INV0855"/>
        <s v="INV0856"/>
        <s v="INV0857"/>
        <s v="INV0858"/>
        <s v="INV0859"/>
        <s v="INV0860"/>
        <s v="INV0861"/>
        <s v="INV0862"/>
        <s v="INV0863"/>
        <s v="INV0864"/>
        <s v="INV0865"/>
        <s v="INV0866"/>
        <s v="INV0867"/>
        <s v="INV0868"/>
        <s v="INV0869"/>
        <s v="INV0870"/>
        <s v="INV0871"/>
        <s v="INV0872"/>
        <s v="INV0873"/>
        <s v="INV0874"/>
        <s v="INV0875"/>
        <s v="INV0876"/>
        <s v="INV0877"/>
        <s v="INV0878"/>
        <s v="INV0879"/>
        <s v="INV0880"/>
        <s v="INV0881"/>
        <s v="INV0882"/>
        <s v="INV0883"/>
        <s v="INV0884"/>
        <s v="INV0885"/>
        <s v="INV0886"/>
        <s v="INV0887"/>
        <s v="INV0888"/>
        <s v="INV0889"/>
        <s v="INV0890"/>
        <s v="INV0891"/>
        <s v="INV0892"/>
        <s v="INV0893"/>
        <s v="INV0894"/>
        <s v="INV0895"/>
        <s v="INV0896"/>
        <s v="INV0897"/>
        <s v="INV0898"/>
        <s v="INV0899"/>
        <s v="INV0900"/>
        <s v="INV0901"/>
        <s v="INV0902"/>
        <s v="INV0903"/>
        <s v="INV0904"/>
        <s v="INV0905"/>
        <s v="INV0906"/>
        <s v="INV0907"/>
        <s v="INV0908"/>
        <s v="INV0909"/>
        <s v="INV0910"/>
        <s v="INV0911"/>
        <s v="INV0912"/>
        <s v="INV0913"/>
        <s v="INV0914"/>
        <s v="INV0915"/>
        <s v="INV0916"/>
        <s v="INV0917"/>
        <s v="INV0918"/>
        <s v="INV0919"/>
        <s v="INV0920"/>
        <s v="INV0921"/>
        <s v="INV0922"/>
        <s v="INV0923"/>
        <s v="INV0924"/>
        <s v="INV0925"/>
        <s v="INV0926"/>
        <s v="INV0927"/>
        <s v="INV0928"/>
        <s v="INV0929"/>
        <s v="INV0930"/>
        <s v="INV0931"/>
        <s v="INV0932"/>
        <s v="INV0933"/>
        <s v="INV0934"/>
        <s v="INV0935"/>
        <s v="INV0936"/>
        <s v="INV0937"/>
        <s v="INV0938"/>
        <s v="INV0939"/>
        <s v="INV0940"/>
        <s v="INV0941"/>
        <s v="INV0942"/>
        <s v="INV0943"/>
        <s v="INV0944"/>
        <s v="INV0945"/>
        <s v="INV0946"/>
        <s v="INV0947"/>
        <s v="INV0948"/>
        <s v="INV0949"/>
        <s v="INV0950"/>
        <s v="INV0951"/>
        <s v="INV0952"/>
        <s v="INV0953"/>
        <s v="INV0954"/>
        <s v="INV0955"/>
        <s v="INV0956"/>
        <s v="INV0957"/>
        <s v="INV0958"/>
        <s v="INV0959"/>
        <s v="INV0960"/>
        <s v="INV0961"/>
        <s v="INV0962"/>
        <s v="INV0963"/>
        <s v="INV0964"/>
        <s v="INV0965"/>
        <s v="INV0966"/>
        <s v="INV0967"/>
        <s v="INV0968"/>
        <s v="INV0969"/>
        <s v="INV0970"/>
        <s v="INV0971"/>
        <s v="INV0972"/>
        <s v="INV0973"/>
        <s v="INV0974"/>
        <s v="INV0975"/>
        <s v="INV0976"/>
        <s v="INV0977"/>
        <s v="INV0978"/>
        <s v="INV0979"/>
        <s v="INV0980"/>
        <s v="INV0981"/>
        <s v="INV0982"/>
        <s v="INV0983"/>
        <s v="INV0984"/>
        <s v="INV0985"/>
        <s v="INV0986"/>
        <s v="INV0987"/>
        <s v="INV0988"/>
        <s v="INV0989"/>
        <s v="INV0990"/>
        <s v="INV0991"/>
        <s v="INV0992"/>
        <s v="INV0993"/>
        <s v="INV0994"/>
        <s v="INV0995"/>
        <s v="INV0996"/>
        <s v="INV0997"/>
        <s v="INV0998"/>
        <s v="INV0999"/>
        <s v="INV1000"/>
      </sharedItems>
    </cacheField>
    <cacheField name="Branch" numFmtId="0">
      <sharedItems count="6">
        <s v="Bangalore Branch"/>
        <s v="Hyderabad Branch"/>
        <s v="Pune Branch"/>
        <s v="Mumbai Branch"/>
        <s v="Chennai Branch"/>
        <s v="Delhi Branch"/>
      </sharedItems>
    </cacheField>
    <cacheField name="City" numFmtId="0">
      <sharedItems count="6">
        <s v="Bangalore"/>
        <s v="Hyderabad"/>
        <s v="Pune"/>
        <s v="Mumbai"/>
        <s v="Chennai"/>
        <s v="Delhi"/>
      </sharedItems>
    </cacheField>
    <cacheField name="Product_Line" numFmtId="0">
      <sharedItems count="6">
        <s v="Electronics"/>
        <s v="Clothing"/>
        <s v="Home Appliances"/>
        <s v="Groceries"/>
        <s v="Sports &amp; Fitness"/>
        <s v="Beauty &amp; Personal Care"/>
      </sharedItems>
    </cacheField>
    <cacheField name="Unit_Price" numFmtId="0">
      <sharedItems containsSemiMixedTypes="0" containsString="0" containsNumber="1" minValue="53.18" maxValue="74722.87"/>
    </cacheField>
    <cacheField name="Quantity" numFmtId="0">
      <sharedItems containsSemiMixedTypes="0" containsString="0" containsNumber="1" containsInteger="1" minValue="1" maxValue="10"/>
    </cacheField>
    <cacheField name="Total_Sales" numFmtId="0">
      <sharedItems containsSemiMixedTypes="0" containsString="0" containsNumber="1" minValue="74.680000000000007" maxValue="222082.2"/>
    </cacheField>
    <cacheField name="Date" numFmtId="14">
      <sharedItems containsSemiMixedTypes="0" containsNonDate="0" containsDate="1" containsString="0" minDate="2026-01-01T00:00:00" maxDate="2027-01-01T00:00:00" count="339">
        <d v="2026-06-12T00:00:00"/>
        <d v="2026-01-07T00:00:00"/>
        <d v="2026-09-03T00:00:00"/>
        <d v="2026-06-16T00:00:00"/>
        <d v="2026-10-09T00:00:00"/>
        <d v="2026-08-14T00:00:00"/>
        <d v="2026-10-15T00:00:00"/>
        <d v="2026-06-18T00:00:00"/>
        <d v="2026-01-03T00:00:00"/>
        <d v="2026-02-17T00:00:00"/>
        <d v="2026-06-17T00:00:00"/>
        <d v="2026-05-26T00:00:00"/>
        <d v="2026-10-17T00:00:00"/>
        <d v="2026-05-31T00:00:00"/>
        <d v="2026-11-10T00:00:00"/>
        <d v="2026-03-10T00:00:00"/>
        <d v="2026-05-21T00:00:00"/>
        <d v="2026-10-04T00:00:00"/>
        <d v="2026-02-15T00:00:00"/>
        <d v="2026-04-28T00:00:00"/>
        <d v="2026-10-02T00:00:00"/>
        <d v="2026-08-03T00:00:00"/>
        <d v="2026-10-11T00:00:00"/>
        <d v="2026-07-08T00:00:00"/>
        <d v="2026-11-17T00:00:00"/>
        <d v="2026-12-22T00:00:00"/>
        <d v="2026-02-14T00:00:00"/>
        <d v="2026-08-04T00:00:00"/>
        <d v="2026-02-11T00:00:00"/>
        <d v="2026-03-25T00:00:00"/>
        <d v="2026-04-20T00:00:00"/>
        <d v="2026-08-24T00:00:00"/>
        <d v="2026-06-07T00:00:00"/>
        <d v="2026-11-12T00:00:00"/>
        <d v="2026-04-19T00:00:00"/>
        <d v="2026-10-06T00:00:00"/>
        <d v="2026-12-24T00:00:00"/>
        <d v="2026-03-31T00:00:00"/>
        <d v="2026-09-25T00:00:00"/>
        <d v="2026-01-31T00:00:00"/>
        <d v="2026-07-18T00:00:00"/>
        <d v="2026-06-01T00:00:00"/>
        <d v="2026-12-16T00:00:00"/>
        <d v="2026-10-10T00:00:00"/>
        <d v="2026-12-05T00:00:00"/>
        <d v="2026-11-07T00:00:00"/>
        <d v="2026-05-30T00:00:00"/>
        <d v="2026-01-12T00:00:00"/>
        <d v="2026-07-23T00:00:00"/>
        <d v="2026-01-18T00:00:00"/>
        <d v="2026-09-22T00:00:00"/>
        <d v="2026-12-19T00:00:00"/>
        <d v="2026-09-06T00:00:00"/>
        <d v="2026-11-03T00:00:00"/>
        <d v="2026-03-27T00:00:00"/>
        <d v="2026-12-29T00:00:00"/>
        <d v="2026-07-21T00:00:00"/>
        <d v="2026-09-04T00:00:00"/>
        <d v="2026-08-22T00:00:00"/>
        <d v="2026-04-26T00:00:00"/>
        <d v="2026-08-12T00:00:00"/>
        <d v="2026-08-27T00:00:00"/>
        <d v="2026-11-09T00:00:00"/>
        <d v="2026-06-25T00:00:00"/>
        <d v="2026-07-03T00:00:00"/>
        <d v="2026-02-02T00:00:00"/>
        <d v="2026-01-08T00:00:00"/>
        <d v="2026-09-01T00:00:00"/>
        <d v="2026-06-02T00:00:00"/>
        <d v="2026-09-14T00:00:00"/>
        <d v="2026-02-21T00:00:00"/>
        <d v="2026-02-06T00:00:00"/>
        <d v="2026-05-14T00:00:00"/>
        <d v="2026-12-03T00:00:00"/>
        <d v="2026-01-11T00:00:00"/>
        <d v="2026-12-28T00:00:00"/>
        <d v="2026-09-07T00:00:00"/>
        <d v="2026-06-30T00:00:00"/>
        <d v="2026-02-22T00:00:00"/>
        <d v="2026-05-10T00:00:00"/>
        <d v="2026-07-11T00:00:00"/>
        <d v="2026-04-11T00:00:00"/>
        <d v="2026-09-15T00:00:00"/>
        <d v="2026-03-17T00:00:00"/>
        <d v="2026-04-03T00:00:00"/>
        <d v="2026-02-16T00:00:00"/>
        <d v="2026-04-14T00:00:00"/>
        <d v="2026-03-22T00:00:00"/>
        <d v="2026-01-26T00:00:00"/>
        <d v="2026-06-23T00:00:00"/>
        <d v="2026-01-01T00:00:00"/>
        <d v="2026-06-22T00:00:00"/>
        <d v="2026-05-06T00:00:00"/>
        <d v="2026-04-02T00:00:00"/>
        <d v="2026-02-26T00:00:00"/>
        <d v="2026-09-30T00:00:00"/>
        <d v="2026-11-11T00:00:00"/>
        <d v="2026-10-08T00:00:00"/>
        <d v="2026-07-09T00:00:00"/>
        <d v="2026-05-25T00:00:00"/>
        <d v="2026-01-09T00:00:00"/>
        <d v="2026-05-15T00:00:00"/>
        <d v="2026-08-25T00:00:00"/>
        <d v="2026-12-31T00:00:00"/>
        <d v="2026-03-30T00:00:00"/>
        <d v="2026-01-04T00:00:00"/>
        <d v="2026-11-16T00:00:00"/>
        <d v="2026-10-24T00:00:00"/>
        <d v="2026-02-28T00:00:00"/>
        <d v="2026-07-25T00:00:00"/>
        <d v="2026-08-30T00:00:00"/>
        <d v="2026-12-25T00:00:00"/>
        <d v="2026-10-03T00:00:00"/>
        <d v="2026-03-19T00:00:00"/>
        <d v="2026-01-14T00:00:00"/>
        <d v="2026-08-20T00:00:00"/>
        <d v="2026-07-22T00:00:00"/>
        <d v="2026-07-30T00:00:00"/>
        <d v="2026-07-02T00:00:00"/>
        <d v="2026-04-21T00:00:00"/>
        <d v="2026-02-01T00:00:00"/>
        <d v="2026-10-29T00:00:00"/>
        <d v="2026-03-01T00:00:00"/>
        <d v="2026-05-13T00:00:00"/>
        <d v="2026-06-09T00:00:00"/>
        <d v="2026-11-06T00:00:00"/>
        <d v="2026-11-04T00:00:00"/>
        <d v="2026-03-11T00:00:00"/>
        <d v="2026-04-23T00:00:00"/>
        <d v="2026-10-27T00:00:00"/>
        <d v="2026-12-01T00:00:00"/>
        <d v="2026-01-29T00:00:00"/>
        <d v="2026-11-01T00:00:00"/>
        <d v="2026-06-28T00:00:00"/>
        <d v="2026-01-28T00:00:00"/>
        <d v="2026-09-05T00:00:00"/>
        <d v="2026-10-16T00:00:00"/>
        <d v="2026-12-12T00:00:00"/>
        <d v="2026-09-29T00:00:00"/>
        <d v="2026-07-17T00:00:00"/>
        <d v="2026-01-27T00:00:00"/>
        <d v="2026-07-04T00:00:00"/>
        <d v="2026-06-05T00:00:00"/>
        <d v="2026-11-30T00:00:00"/>
        <d v="2026-08-23T00:00:00"/>
        <d v="2026-03-09T00:00:00"/>
        <d v="2026-11-19T00:00:00"/>
        <d v="2026-11-15T00:00:00"/>
        <d v="2026-07-01T00:00:00"/>
        <d v="2026-12-21T00:00:00"/>
        <d v="2026-09-24T00:00:00"/>
        <d v="2026-01-13T00:00:00"/>
        <d v="2026-03-15T00:00:00"/>
        <d v="2026-05-28T00:00:00"/>
        <d v="2026-02-18T00:00:00"/>
        <d v="2026-12-23T00:00:00"/>
        <d v="2026-11-14T00:00:00"/>
        <d v="2026-06-08T00:00:00"/>
        <d v="2026-03-20T00:00:00"/>
        <d v="2026-03-08T00:00:00"/>
        <d v="2026-05-01T00:00:00"/>
        <d v="2026-01-05T00:00:00"/>
        <d v="2026-06-15T00:00:00"/>
        <d v="2026-08-16T00:00:00"/>
        <d v="2026-05-04T00:00:00"/>
        <d v="2026-12-27T00:00:00"/>
        <d v="2026-08-26T00:00:00"/>
        <d v="2026-09-13T00:00:00"/>
        <d v="2026-12-09T00:00:00"/>
        <d v="2026-11-23T00:00:00"/>
        <d v="2026-03-21T00:00:00"/>
        <d v="2026-09-20T00:00:00"/>
        <d v="2026-02-08T00:00:00"/>
        <d v="2026-02-25T00:00:00"/>
        <d v="2026-09-21T00:00:00"/>
        <d v="2026-06-20T00:00:00"/>
        <d v="2026-10-23T00:00:00"/>
        <d v="2026-04-15T00:00:00"/>
        <d v="2026-08-01T00:00:00"/>
        <d v="2026-02-19T00:00:00"/>
        <d v="2026-07-20T00:00:00"/>
        <d v="2026-06-13T00:00:00"/>
        <d v="2026-07-06T00:00:00"/>
        <d v="2026-11-25T00:00:00"/>
        <d v="2026-02-09T00:00:00"/>
        <d v="2026-04-12T00:00:00"/>
        <d v="2026-06-24T00:00:00"/>
        <d v="2026-03-13T00:00:00"/>
        <d v="2026-03-07T00:00:00"/>
        <d v="2026-04-07T00:00:00"/>
        <d v="2026-04-10T00:00:00"/>
        <d v="2026-04-29T00:00:00"/>
        <d v="2026-07-14T00:00:00"/>
        <d v="2026-12-17T00:00:00"/>
        <d v="2026-01-20T00:00:00"/>
        <d v="2026-11-08T00:00:00"/>
        <d v="2026-05-05T00:00:00"/>
        <d v="2026-01-25T00:00:00"/>
        <d v="2026-09-09T00:00:00"/>
        <d v="2026-03-04T00:00:00"/>
        <d v="2026-03-06T00:00:00"/>
        <d v="2026-07-19T00:00:00"/>
        <d v="2026-01-06T00:00:00"/>
        <d v="2026-01-15T00:00:00"/>
        <d v="2026-05-08T00:00:00"/>
        <d v="2026-07-28T00:00:00"/>
        <d v="2026-12-30T00:00:00"/>
        <d v="2026-09-10T00:00:00"/>
        <d v="2026-12-02T00:00:00"/>
        <d v="2026-03-12T00:00:00"/>
        <d v="2026-04-24T00:00:00"/>
        <d v="2026-06-19T00:00:00"/>
        <d v="2026-11-05T00:00:00"/>
        <d v="2026-10-20T00:00:00"/>
        <d v="2026-08-31T00:00:00"/>
        <d v="2026-05-29T00:00:00"/>
        <d v="2026-11-18T00:00:00"/>
        <d v="2026-02-10T00:00:00"/>
        <d v="2026-07-29T00:00:00"/>
        <d v="2026-06-14T00:00:00"/>
        <d v="2026-04-16T00:00:00"/>
        <d v="2026-09-08T00:00:00"/>
        <d v="2026-07-31T00:00:00"/>
        <d v="2026-05-23T00:00:00"/>
        <d v="2026-09-11T00:00:00"/>
        <d v="2026-02-27T00:00:00"/>
        <d v="2026-04-22T00:00:00"/>
        <d v="2026-04-13T00:00:00"/>
        <d v="2026-08-29T00:00:00"/>
        <d v="2026-09-19T00:00:00"/>
        <d v="2026-12-11T00:00:00"/>
        <d v="2026-01-17T00:00:00"/>
        <d v="2026-10-05T00:00:00"/>
        <d v="2026-09-27T00:00:00"/>
        <d v="2026-05-07T00:00:00"/>
        <d v="2026-06-03T00:00:00"/>
        <d v="2026-09-23T00:00:00"/>
        <d v="2026-01-02T00:00:00"/>
        <d v="2026-10-18T00:00:00"/>
        <d v="2026-06-06T00:00:00"/>
        <d v="2026-05-20T00:00:00"/>
        <d v="2026-09-02T00:00:00"/>
        <d v="2026-05-27T00:00:00"/>
        <d v="2026-03-03T00:00:00"/>
        <d v="2026-03-28T00:00:00"/>
        <d v="2026-11-21T00:00:00"/>
        <d v="2026-05-17T00:00:00"/>
        <d v="2026-04-05T00:00:00"/>
        <d v="2026-06-10T00:00:00"/>
        <d v="2026-06-21T00:00:00"/>
        <d v="2026-04-06T00:00:00"/>
        <d v="2026-07-26T00:00:00"/>
        <d v="2026-01-24T00:00:00"/>
        <d v="2026-01-22T00:00:00"/>
        <d v="2026-02-24T00:00:00"/>
        <d v="2026-04-08T00:00:00"/>
        <d v="2026-05-03T00:00:00"/>
        <d v="2026-09-17T00:00:00"/>
        <d v="2026-10-21T00:00:00"/>
        <d v="2026-08-09T00:00:00"/>
        <d v="2026-08-21T00:00:00"/>
        <d v="2026-11-28T00:00:00"/>
        <d v="2026-05-19T00:00:00"/>
        <d v="2026-01-19T00:00:00"/>
        <d v="2026-04-17T00:00:00"/>
        <d v="2026-03-18T00:00:00"/>
        <d v="2026-03-24T00:00:00"/>
        <d v="2026-10-12T00:00:00"/>
        <d v="2026-06-11T00:00:00"/>
        <d v="2026-04-01T00:00:00"/>
        <d v="2026-07-13T00:00:00"/>
        <d v="2026-06-26T00:00:00"/>
        <d v="2026-10-25T00:00:00"/>
        <d v="2026-12-04T00:00:00"/>
        <d v="2026-08-19T00:00:00"/>
        <d v="2026-12-07T00:00:00"/>
        <d v="2026-10-30T00:00:00"/>
        <d v="2026-07-05T00:00:00"/>
        <d v="2026-07-16T00:00:00"/>
        <d v="2026-07-27T00:00:00"/>
        <d v="2026-09-16T00:00:00"/>
        <d v="2026-12-13T00:00:00"/>
        <d v="2026-01-30T00:00:00"/>
        <d v="2026-08-28T00:00:00"/>
        <d v="2026-08-02T00:00:00"/>
        <d v="2026-11-13T00:00:00"/>
        <d v="2026-04-27T00:00:00"/>
        <d v="2026-10-01T00:00:00"/>
        <d v="2026-06-29T00:00:00"/>
        <d v="2026-12-06T00:00:00"/>
        <d v="2026-12-15T00:00:00"/>
        <d v="2026-12-20T00:00:00"/>
        <d v="2026-08-06T00:00:00"/>
        <d v="2026-05-22T00:00:00"/>
        <d v="2026-12-10T00:00:00"/>
        <d v="2026-11-26T00:00:00"/>
        <d v="2026-05-11T00:00:00"/>
        <d v="2026-09-18T00:00:00"/>
        <d v="2026-05-18T00:00:00"/>
        <d v="2026-04-18T00:00:00"/>
        <d v="2026-11-02T00:00:00"/>
        <d v="2026-10-14T00:00:00"/>
        <d v="2026-08-05T00:00:00"/>
        <d v="2026-08-10T00:00:00"/>
        <d v="2026-09-28T00:00:00"/>
        <d v="2026-05-02T00:00:00"/>
        <d v="2026-11-20T00:00:00"/>
        <d v="2026-10-26T00:00:00"/>
        <d v="2026-10-28T00:00:00"/>
        <d v="2026-02-20T00:00:00"/>
        <d v="2026-02-13T00:00:00"/>
        <d v="2026-05-16T00:00:00"/>
        <d v="2026-10-22T00:00:00"/>
        <d v="2026-12-08T00:00:00"/>
        <d v="2026-11-29T00:00:00"/>
        <d v="2026-02-12T00:00:00"/>
        <d v="2026-08-07T00:00:00"/>
        <d v="2026-03-16T00:00:00"/>
        <d v="2026-07-10T00:00:00"/>
        <d v="2026-08-08T00:00:00"/>
        <d v="2026-05-24T00:00:00"/>
        <d v="2026-04-09T00:00:00"/>
        <d v="2026-01-21T00:00:00"/>
        <d v="2026-11-22T00:00:00"/>
        <d v="2026-07-07T00:00:00"/>
        <d v="2026-10-19T00:00:00"/>
        <d v="2026-02-07T00:00:00"/>
        <d v="2026-06-27T00:00:00"/>
        <d v="2026-08-18T00:00:00"/>
        <d v="2026-07-12T00:00:00"/>
        <d v="2026-12-26T00:00:00"/>
        <d v="2026-10-13T00:00:00"/>
        <d v="2026-08-17T00:00:00"/>
        <d v="2026-05-12T00:00:00"/>
        <d v="2026-03-23T00:00:00"/>
        <d v="2026-08-15T00:00:00"/>
        <d v="2026-03-14T00:00:00"/>
        <d v="2026-05-09T00:00:00"/>
        <d v="2026-08-13T00:00:00"/>
      </sharedItems>
      <fieldGroup par="10"/>
    </cacheField>
    <cacheField name="Payment" numFmtId="0">
      <sharedItems count="4">
        <s v="UPI"/>
        <s v="Debit Card"/>
        <s v="Cash"/>
        <s v="Credit Card"/>
      </sharedItems>
    </cacheField>
    <cacheField name="Days (Date)" numFmtId="0" databaseField="0">
      <fieldGroup base="7">
        <rangePr groupBy="days" startDate="2026-01-01T00:00:00" endDate="2027-01-01T00:00:00"/>
        <groupItems count="368">
          <s v="&lt;01-01-20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7"/>
        </groupItems>
      </fieldGroup>
    </cacheField>
    <cacheField name="Months (Date)" numFmtId="0" databaseField="0">
      <fieldGroup base="7">
        <rangePr groupBy="months" startDate="2026-01-01T00:00:00" endDate="2027-01-01T00:00:00"/>
        <groupItems count="14">
          <s v="&lt;01-01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x v="0"/>
    <n v="62328.21"/>
    <n v="2"/>
    <n v="124656.42"/>
    <x v="0"/>
    <x v="0"/>
  </r>
  <r>
    <x v="1"/>
    <x v="1"/>
    <x v="1"/>
    <x v="1"/>
    <n v="7250.92"/>
    <n v="4"/>
    <n v="29003.68"/>
    <x v="1"/>
    <x v="1"/>
  </r>
  <r>
    <x v="2"/>
    <x v="0"/>
    <x v="0"/>
    <x v="0"/>
    <n v="18968.22"/>
    <n v="1"/>
    <n v="18968.22"/>
    <x v="2"/>
    <x v="0"/>
  </r>
  <r>
    <x v="3"/>
    <x v="2"/>
    <x v="2"/>
    <x v="0"/>
    <n v="56129.09"/>
    <n v="2"/>
    <n v="112258.18"/>
    <x v="3"/>
    <x v="2"/>
  </r>
  <r>
    <x v="4"/>
    <x v="3"/>
    <x v="3"/>
    <x v="2"/>
    <n v="5139.5600000000004"/>
    <n v="3"/>
    <n v="15418.68"/>
    <x v="4"/>
    <x v="3"/>
  </r>
  <r>
    <x v="5"/>
    <x v="4"/>
    <x v="4"/>
    <x v="3"/>
    <n v="3883.37"/>
    <n v="9"/>
    <n v="34950.33"/>
    <x v="5"/>
    <x v="0"/>
  </r>
  <r>
    <x v="6"/>
    <x v="0"/>
    <x v="0"/>
    <x v="4"/>
    <n v="11922.71"/>
    <n v="2"/>
    <n v="23845.42"/>
    <x v="6"/>
    <x v="1"/>
  </r>
  <r>
    <x v="7"/>
    <x v="0"/>
    <x v="0"/>
    <x v="3"/>
    <n v="598.21"/>
    <n v="3"/>
    <n v="1794.63"/>
    <x v="7"/>
    <x v="3"/>
  </r>
  <r>
    <x v="8"/>
    <x v="3"/>
    <x v="3"/>
    <x v="2"/>
    <n v="4895.7700000000004"/>
    <n v="1"/>
    <n v="4895.7700000000004"/>
    <x v="8"/>
    <x v="3"/>
  </r>
  <r>
    <x v="9"/>
    <x v="1"/>
    <x v="1"/>
    <x v="1"/>
    <n v="9084.7900000000009"/>
    <n v="3"/>
    <n v="27254.37"/>
    <x v="9"/>
    <x v="2"/>
  </r>
  <r>
    <x v="10"/>
    <x v="5"/>
    <x v="5"/>
    <x v="2"/>
    <n v="15353.86"/>
    <n v="2"/>
    <n v="30707.72"/>
    <x v="10"/>
    <x v="3"/>
  </r>
  <r>
    <x v="11"/>
    <x v="4"/>
    <x v="4"/>
    <x v="2"/>
    <n v="44575.79"/>
    <n v="1"/>
    <n v="44575.79"/>
    <x v="11"/>
    <x v="3"/>
  </r>
  <r>
    <x v="12"/>
    <x v="2"/>
    <x v="2"/>
    <x v="1"/>
    <n v="9216.25"/>
    <n v="1"/>
    <n v="9216.25"/>
    <x v="12"/>
    <x v="3"/>
  </r>
  <r>
    <x v="13"/>
    <x v="0"/>
    <x v="0"/>
    <x v="4"/>
    <n v="14054.35"/>
    <n v="2"/>
    <n v="28108.7"/>
    <x v="13"/>
    <x v="1"/>
  </r>
  <r>
    <x v="14"/>
    <x v="1"/>
    <x v="1"/>
    <x v="3"/>
    <n v="1429.1"/>
    <n v="8"/>
    <n v="11432.8"/>
    <x v="14"/>
    <x v="1"/>
  </r>
  <r>
    <x v="15"/>
    <x v="5"/>
    <x v="5"/>
    <x v="0"/>
    <n v="53403.68"/>
    <n v="1"/>
    <n v="53403.68"/>
    <x v="15"/>
    <x v="2"/>
  </r>
  <r>
    <x v="16"/>
    <x v="1"/>
    <x v="1"/>
    <x v="2"/>
    <n v="47459.24"/>
    <n v="2"/>
    <n v="94918.48"/>
    <x v="16"/>
    <x v="3"/>
  </r>
  <r>
    <x v="17"/>
    <x v="3"/>
    <x v="3"/>
    <x v="5"/>
    <n v="823.32"/>
    <n v="1"/>
    <n v="823.32"/>
    <x v="17"/>
    <x v="3"/>
  </r>
  <r>
    <x v="18"/>
    <x v="0"/>
    <x v="0"/>
    <x v="0"/>
    <n v="25001.27"/>
    <n v="1"/>
    <n v="25001.27"/>
    <x v="18"/>
    <x v="2"/>
  </r>
  <r>
    <x v="19"/>
    <x v="2"/>
    <x v="2"/>
    <x v="1"/>
    <n v="3045.67"/>
    <n v="4"/>
    <n v="12182.68"/>
    <x v="19"/>
    <x v="1"/>
  </r>
  <r>
    <x v="20"/>
    <x v="0"/>
    <x v="0"/>
    <x v="4"/>
    <n v="8047.03"/>
    <n v="2"/>
    <n v="16094.06"/>
    <x v="20"/>
    <x v="2"/>
  </r>
  <r>
    <x v="21"/>
    <x v="5"/>
    <x v="5"/>
    <x v="5"/>
    <n v="5964.43"/>
    <n v="2"/>
    <n v="11928.86"/>
    <x v="21"/>
    <x v="3"/>
  </r>
  <r>
    <x v="22"/>
    <x v="4"/>
    <x v="4"/>
    <x v="4"/>
    <n v="9642.58"/>
    <n v="4"/>
    <n v="38570.32"/>
    <x v="22"/>
    <x v="3"/>
  </r>
  <r>
    <x v="23"/>
    <x v="4"/>
    <x v="4"/>
    <x v="1"/>
    <n v="6977.55"/>
    <n v="1"/>
    <n v="6977.55"/>
    <x v="23"/>
    <x v="3"/>
  </r>
  <r>
    <x v="24"/>
    <x v="0"/>
    <x v="0"/>
    <x v="2"/>
    <n v="16393.59"/>
    <n v="1"/>
    <n v="16393.59"/>
    <x v="14"/>
    <x v="1"/>
  </r>
  <r>
    <x v="25"/>
    <x v="3"/>
    <x v="3"/>
    <x v="3"/>
    <n v="749.38"/>
    <n v="10"/>
    <n v="7493.8"/>
    <x v="24"/>
    <x v="1"/>
  </r>
  <r>
    <x v="26"/>
    <x v="1"/>
    <x v="1"/>
    <x v="4"/>
    <n v="5558.59"/>
    <n v="3"/>
    <n v="16675.77"/>
    <x v="25"/>
    <x v="0"/>
  </r>
  <r>
    <x v="27"/>
    <x v="3"/>
    <x v="3"/>
    <x v="3"/>
    <n v="4305.42"/>
    <n v="1"/>
    <n v="4305.42"/>
    <x v="26"/>
    <x v="1"/>
  </r>
  <r>
    <x v="28"/>
    <x v="3"/>
    <x v="3"/>
    <x v="5"/>
    <n v="4859.09"/>
    <n v="3"/>
    <n v="14577.27"/>
    <x v="27"/>
    <x v="2"/>
  </r>
  <r>
    <x v="29"/>
    <x v="2"/>
    <x v="2"/>
    <x v="3"/>
    <n v="1921.04"/>
    <n v="6"/>
    <n v="11526.24"/>
    <x v="28"/>
    <x v="2"/>
  </r>
  <r>
    <x v="30"/>
    <x v="0"/>
    <x v="0"/>
    <x v="1"/>
    <n v="9541.9"/>
    <n v="2"/>
    <n v="19083.8"/>
    <x v="29"/>
    <x v="3"/>
  </r>
  <r>
    <x v="31"/>
    <x v="4"/>
    <x v="4"/>
    <x v="2"/>
    <n v="4158.41"/>
    <n v="2"/>
    <n v="8316.82"/>
    <x v="30"/>
    <x v="1"/>
  </r>
  <r>
    <x v="32"/>
    <x v="5"/>
    <x v="5"/>
    <x v="1"/>
    <n v="3270.53"/>
    <n v="4"/>
    <n v="13082.12"/>
    <x v="31"/>
    <x v="1"/>
  </r>
  <r>
    <x v="33"/>
    <x v="5"/>
    <x v="5"/>
    <x v="4"/>
    <n v="4833.03"/>
    <n v="2"/>
    <n v="9666.06"/>
    <x v="32"/>
    <x v="1"/>
  </r>
  <r>
    <x v="34"/>
    <x v="1"/>
    <x v="1"/>
    <x v="3"/>
    <n v="4927.55"/>
    <n v="9"/>
    <n v="44347.95"/>
    <x v="33"/>
    <x v="3"/>
  </r>
  <r>
    <x v="35"/>
    <x v="3"/>
    <x v="3"/>
    <x v="2"/>
    <n v="35598.83"/>
    <n v="2"/>
    <n v="71197.66"/>
    <x v="34"/>
    <x v="0"/>
  </r>
  <r>
    <x v="36"/>
    <x v="3"/>
    <x v="3"/>
    <x v="3"/>
    <n v="3108.04"/>
    <n v="10"/>
    <n v="31080.400000000001"/>
    <x v="5"/>
    <x v="0"/>
  </r>
  <r>
    <x v="37"/>
    <x v="1"/>
    <x v="1"/>
    <x v="3"/>
    <n v="74.680000000000007"/>
    <n v="1"/>
    <n v="74.680000000000007"/>
    <x v="35"/>
    <x v="3"/>
  </r>
  <r>
    <x v="38"/>
    <x v="5"/>
    <x v="5"/>
    <x v="1"/>
    <n v="2456.4299999999998"/>
    <n v="2"/>
    <n v="4912.8599999999997"/>
    <x v="36"/>
    <x v="2"/>
  </r>
  <r>
    <x v="39"/>
    <x v="2"/>
    <x v="2"/>
    <x v="0"/>
    <n v="47957.16"/>
    <n v="3"/>
    <n v="143871.48000000001"/>
    <x v="37"/>
    <x v="0"/>
  </r>
  <r>
    <x v="40"/>
    <x v="1"/>
    <x v="1"/>
    <x v="0"/>
    <n v="28975.17"/>
    <n v="3"/>
    <n v="86925.51"/>
    <x v="38"/>
    <x v="3"/>
  </r>
  <r>
    <x v="41"/>
    <x v="0"/>
    <x v="0"/>
    <x v="2"/>
    <n v="46289.74"/>
    <n v="1"/>
    <n v="46289.74"/>
    <x v="39"/>
    <x v="0"/>
  </r>
  <r>
    <x v="42"/>
    <x v="2"/>
    <x v="2"/>
    <x v="2"/>
    <n v="38471.49"/>
    <n v="3"/>
    <n v="115414.47"/>
    <x v="40"/>
    <x v="2"/>
  </r>
  <r>
    <x v="43"/>
    <x v="5"/>
    <x v="5"/>
    <x v="2"/>
    <n v="22921.82"/>
    <n v="1"/>
    <n v="22921.82"/>
    <x v="41"/>
    <x v="0"/>
  </r>
  <r>
    <x v="44"/>
    <x v="0"/>
    <x v="0"/>
    <x v="0"/>
    <n v="56414.01"/>
    <n v="2"/>
    <n v="112828.02"/>
    <x v="42"/>
    <x v="0"/>
  </r>
  <r>
    <x v="45"/>
    <x v="0"/>
    <x v="0"/>
    <x v="3"/>
    <n v="4878.25"/>
    <n v="4"/>
    <n v="19513"/>
    <x v="43"/>
    <x v="3"/>
  </r>
  <r>
    <x v="46"/>
    <x v="5"/>
    <x v="5"/>
    <x v="0"/>
    <n v="35004.78"/>
    <n v="2"/>
    <n v="70009.56"/>
    <x v="44"/>
    <x v="1"/>
  </r>
  <r>
    <x v="47"/>
    <x v="5"/>
    <x v="5"/>
    <x v="5"/>
    <n v="5175.95"/>
    <n v="5"/>
    <n v="25879.75"/>
    <x v="45"/>
    <x v="2"/>
  </r>
  <r>
    <x v="48"/>
    <x v="2"/>
    <x v="2"/>
    <x v="5"/>
    <n v="7357.45"/>
    <n v="4"/>
    <n v="29429.8"/>
    <x v="46"/>
    <x v="3"/>
  </r>
  <r>
    <x v="49"/>
    <x v="3"/>
    <x v="3"/>
    <x v="3"/>
    <n v="1280.94"/>
    <n v="8"/>
    <n v="10247.52"/>
    <x v="38"/>
    <x v="1"/>
  </r>
  <r>
    <x v="50"/>
    <x v="3"/>
    <x v="3"/>
    <x v="2"/>
    <n v="44441.34"/>
    <n v="1"/>
    <n v="44441.34"/>
    <x v="47"/>
    <x v="0"/>
  </r>
  <r>
    <x v="51"/>
    <x v="3"/>
    <x v="3"/>
    <x v="0"/>
    <n v="8037.82"/>
    <n v="3"/>
    <n v="24113.46"/>
    <x v="48"/>
    <x v="3"/>
  </r>
  <r>
    <x v="52"/>
    <x v="0"/>
    <x v="0"/>
    <x v="3"/>
    <n v="3259.82"/>
    <n v="5"/>
    <n v="16299.1"/>
    <x v="49"/>
    <x v="1"/>
  </r>
  <r>
    <x v="53"/>
    <x v="2"/>
    <x v="2"/>
    <x v="0"/>
    <n v="58886.59"/>
    <n v="2"/>
    <n v="117773.18"/>
    <x v="50"/>
    <x v="0"/>
  </r>
  <r>
    <x v="54"/>
    <x v="2"/>
    <x v="2"/>
    <x v="3"/>
    <n v="3092.3"/>
    <n v="7"/>
    <n v="21646.1"/>
    <x v="51"/>
    <x v="1"/>
  </r>
  <r>
    <x v="55"/>
    <x v="0"/>
    <x v="0"/>
    <x v="2"/>
    <n v="25281.21"/>
    <n v="2"/>
    <n v="50562.42"/>
    <x v="52"/>
    <x v="1"/>
  </r>
  <r>
    <x v="56"/>
    <x v="1"/>
    <x v="1"/>
    <x v="4"/>
    <n v="12461.74"/>
    <n v="3"/>
    <n v="37385.22"/>
    <x v="53"/>
    <x v="0"/>
  </r>
  <r>
    <x v="57"/>
    <x v="1"/>
    <x v="1"/>
    <x v="0"/>
    <n v="12053.45"/>
    <n v="2"/>
    <n v="24106.9"/>
    <x v="54"/>
    <x v="1"/>
  </r>
  <r>
    <x v="58"/>
    <x v="3"/>
    <x v="3"/>
    <x v="1"/>
    <n v="2822.18"/>
    <n v="4"/>
    <n v="11288.72"/>
    <x v="55"/>
    <x v="3"/>
  </r>
  <r>
    <x v="59"/>
    <x v="3"/>
    <x v="3"/>
    <x v="2"/>
    <n v="14225.07"/>
    <n v="3"/>
    <n v="42675.21"/>
    <x v="56"/>
    <x v="3"/>
  </r>
  <r>
    <x v="60"/>
    <x v="2"/>
    <x v="2"/>
    <x v="4"/>
    <n v="12076.25"/>
    <n v="2"/>
    <n v="24152.5"/>
    <x v="57"/>
    <x v="0"/>
  </r>
  <r>
    <x v="61"/>
    <x v="1"/>
    <x v="1"/>
    <x v="2"/>
    <n v="22653.15"/>
    <n v="2"/>
    <n v="45306.3"/>
    <x v="4"/>
    <x v="3"/>
  </r>
  <r>
    <x v="62"/>
    <x v="1"/>
    <x v="1"/>
    <x v="3"/>
    <n v="1260.1600000000001"/>
    <n v="2"/>
    <n v="2520.3200000000002"/>
    <x v="58"/>
    <x v="1"/>
  </r>
  <r>
    <x v="63"/>
    <x v="0"/>
    <x v="0"/>
    <x v="2"/>
    <n v="44257.66"/>
    <n v="2"/>
    <n v="88515.32"/>
    <x v="59"/>
    <x v="3"/>
  </r>
  <r>
    <x v="64"/>
    <x v="2"/>
    <x v="2"/>
    <x v="3"/>
    <n v="1900.91"/>
    <n v="8"/>
    <n v="15207.28"/>
    <x v="60"/>
    <x v="1"/>
  </r>
  <r>
    <x v="65"/>
    <x v="1"/>
    <x v="1"/>
    <x v="4"/>
    <n v="9086.82"/>
    <n v="3"/>
    <n v="27260.46"/>
    <x v="61"/>
    <x v="0"/>
  </r>
  <r>
    <x v="66"/>
    <x v="1"/>
    <x v="1"/>
    <x v="3"/>
    <n v="2078.02"/>
    <n v="3"/>
    <n v="6234.06"/>
    <x v="62"/>
    <x v="1"/>
  </r>
  <r>
    <x v="67"/>
    <x v="5"/>
    <x v="5"/>
    <x v="2"/>
    <n v="9915.2000000000007"/>
    <n v="2"/>
    <n v="19830.400000000001"/>
    <x v="63"/>
    <x v="0"/>
  </r>
  <r>
    <x v="68"/>
    <x v="3"/>
    <x v="3"/>
    <x v="0"/>
    <n v="55086.720000000001"/>
    <n v="3"/>
    <n v="165260.16"/>
    <x v="64"/>
    <x v="3"/>
  </r>
  <r>
    <x v="69"/>
    <x v="1"/>
    <x v="1"/>
    <x v="3"/>
    <n v="2269.87"/>
    <n v="2"/>
    <n v="4539.74"/>
    <x v="64"/>
    <x v="1"/>
  </r>
  <r>
    <x v="70"/>
    <x v="3"/>
    <x v="3"/>
    <x v="4"/>
    <n v="620.27"/>
    <n v="1"/>
    <n v="620.27"/>
    <x v="28"/>
    <x v="0"/>
  </r>
  <r>
    <x v="71"/>
    <x v="1"/>
    <x v="1"/>
    <x v="2"/>
    <n v="48236.67"/>
    <n v="2"/>
    <n v="96473.34"/>
    <x v="65"/>
    <x v="1"/>
  </r>
  <r>
    <x v="72"/>
    <x v="0"/>
    <x v="0"/>
    <x v="1"/>
    <n v="9844.43"/>
    <n v="4"/>
    <n v="39377.72"/>
    <x v="66"/>
    <x v="3"/>
  </r>
  <r>
    <x v="73"/>
    <x v="5"/>
    <x v="5"/>
    <x v="4"/>
    <n v="14554.12"/>
    <n v="2"/>
    <n v="29108.240000000002"/>
    <x v="67"/>
    <x v="0"/>
  </r>
  <r>
    <x v="74"/>
    <x v="3"/>
    <x v="3"/>
    <x v="5"/>
    <n v="6965.83"/>
    <n v="5"/>
    <n v="34829.15"/>
    <x v="68"/>
    <x v="1"/>
  </r>
  <r>
    <x v="75"/>
    <x v="5"/>
    <x v="5"/>
    <x v="3"/>
    <n v="4538.7"/>
    <n v="9"/>
    <n v="40848.300000000003"/>
    <x v="33"/>
    <x v="2"/>
  </r>
  <r>
    <x v="76"/>
    <x v="5"/>
    <x v="5"/>
    <x v="1"/>
    <n v="4248.63"/>
    <n v="3"/>
    <n v="12745.89"/>
    <x v="69"/>
    <x v="0"/>
  </r>
  <r>
    <x v="77"/>
    <x v="2"/>
    <x v="2"/>
    <x v="1"/>
    <n v="7448.22"/>
    <n v="2"/>
    <n v="14896.44"/>
    <x v="70"/>
    <x v="3"/>
  </r>
  <r>
    <x v="78"/>
    <x v="1"/>
    <x v="1"/>
    <x v="2"/>
    <n v="30831.58"/>
    <n v="1"/>
    <n v="30831.58"/>
    <x v="71"/>
    <x v="1"/>
  </r>
  <r>
    <x v="79"/>
    <x v="0"/>
    <x v="0"/>
    <x v="3"/>
    <n v="1373.13"/>
    <n v="9"/>
    <n v="12358.17"/>
    <x v="72"/>
    <x v="3"/>
  </r>
  <r>
    <x v="80"/>
    <x v="2"/>
    <x v="2"/>
    <x v="3"/>
    <n v="1148.6600000000001"/>
    <n v="9"/>
    <n v="10337.94"/>
    <x v="73"/>
    <x v="1"/>
  </r>
  <r>
    <x v="81"/>
    <x v="1"/>
    <x v="1"/>
    <x v="4"/>
    <n v="2543.9699999999998"/>
    <n v="2"/>
    <n v="5087.9399999999996"/>
    <x v="49"/>
    <x v="3"/>
  </r>
  <r>
    <x v="82"/>
    <x v="0"/>
    <x v="0"/>
    <x v="4"/>
    <n v="13288.49"/>
    <n v="3"/>
    <n v="39865.47"/>
    <x v="15"/>
    <x v="2"/>
  </r>
  <r>
    <x v="83"/>
    <x v="3"/>
    <x v="3"/>
    <x v="5"/>
    <n v="6269.26"/>
    <n v="4"/>
    <n v="25077.040000000001"/>
    <x v="74"/>
    <x v="3"/>
  </r>
  <r>
    <x v="84"/>
    <x v="3"/>
    <x v="3"/>
    <x v="4"/>
    <n v="15290.77"/>
    <n v="3"/>
    <n v="45872.31"/>
    <x v="13"/>
    <x v="2"/>
  </r>
  <r>
    <x v="85"/>
    <x v="3"/>
    <x v="3"/>
    <x v="5"/>
    <n v="2598.58"/>
    <n v="1"/>
    <n v="2598.58"/>
    <x v="75"/>
    <x v="3"/>
  </r>
  <r>
    <x v="86"/>
    <x v="2"/>
    <x v="2"/>
    <x v="5"/>
    <n v="1721.55"/>
    <n v="4"/>
    <n v="6886.2"/>
    <x v="76"/>
    <x v="1"/>
  </r>
  <r>
    <x v="87"/>
    <x v="1"/>
    <x v="1"/>
    <x v="5"/>
    <n v="3683.55"/>
    <n v="5"/>
    <n v="18417.75"/>
    <x v="77"/>
    <x v="1"/>
  </r>
  <r>
    <x v="88"/>
    <x v="3"/>
    <x v="3"/>
    <x v="1"/>
    <n v="6697.72"/>
    <n v="4"/>
    <n v="26790.880000000001"/>
    <x v="78"/>
    <x v="0"/>
  </r>
  <r>
    <x v="89"/>
    <x v="1"/>
    <x v="1"/>
    <x v="1"/>
    <n v="11053.32"/>
    <n v="3"/>
    <n v="33159.96"/>
    <x v="79"/>
    <x v="1"/>
  </r>
  <r>
    <x v="90"/>
    <x v="3"/>
    <x v="3"/>
    <x v="3"/>
    <n v="4380.37"/>
    <n v="6"/>
    <n v="26282.22"/>
    <x v="80"/>
    <x v="1"/>
  </r>
  <r>
    <x v="91"/>
    <x v="2"/>
    <x v="2"/>
    <x v="2"/>
    <n v="45886.86"/>
    <n v="1"/>
    <n v="45886.86"/>
    <x v="81"/>
    <x v="0"/>
  </r>
  <r>
    <x v="92"/>
    <x v="1"/>
    <x v="1"/>
    <x v="3"/>
    <n v="4258.8"/>
    <n v="7"/>
    <n v="29811.599999999999"/>
    <x v="82"/>
    <x v="2"/>
  </r>
  <r>
    <x v="93"/>
    <x v="5"/>
    <x v="5"/>
    <x v="3"/>
    <n v="4824.68"/>
    <n v="3"/>
    <n v="14474.04"/>
    <x v="36"/>
    <x v="3"/>
  </r>
  <r>
    <x v="94"/>
    <x v="5"/>
    <x v="5"/>
    <x v="2"/>
    <n v="23809.5"/>
    <n v="2"/>
    <n v="47619"/>
    <x v="83"/>
    <x v="0"/>
  </r>
  <r>
    <x v="95"/>
    <x v="2"/>
    <x v="2"/>
    <x v="3"/>
    <n v="284.99"/>
    <n v="3"/>
    <n v="854.97"/>
    <x v="84"/>
    <x v="1"/>
  </r>
  <r>
    <x v="96"/>
    <x v="5"/>
    <x v="5"/>
    <x v="0"/>
    <n v="7000.3"/>
    <n v="2"/>
    <n v="14000.6"/>
    <x v="85"/>
    <x v="3"/>
  </r>
  <r>
    <x v="97"/>
    <x v="3"/>
    <x v="3"/>
    <x v="5"/>
    <n v="3183.18"/>
    <n v="2"/>
    <n v="6366.36"/>
    <x v="50"/>
    <x v="1"/>
  </r>
  <r>
    <x v="98"/>
    <x v="3"/>
    <x v="3"/>
    <x v="5"/>
    <n v="2135.73"/>
    <n v="1"/>
    <n v="2135.73"/>
    <x v="7"/>
    <x v="3"/>
  </r>
  <r>
    <x v="99"/>
    <x v="4"/>
    <x v="4"/>
    <x v="0"/>
    <n v="13409.59"/>
    <n v="3"/>
    <n v="40228.769999999997"/>
    <x v="86"/>
    <x v="3"/>
  </r>
  <r>
    <x v="100"/>
    <x v="4"/>
    <x v="4"/>
    <x v="0"/>
    <n v="71527.72"/>
    <n v="2"/>
    <n v="143055.44"/>
    <x v="87"/>
    <x v="0"/>
  </r>
  <r>
    <x v="101"/>
    <x v="2"/>
    <x v="2"/>
    <x v="3"/>
    <n v="1017.33"/>
    <n v="10"/>
    <n v="10173.299999999999"/>
    <x v="88"/>
    <x v="3"/>
  </r>
  <r>
    <x v="102"/>
    <x v="5"/>
    <x v="5"/>
    <x v="5"/>
    <n v="7679.1"/>
    <n v="1"/>
    <n v="7679.1"/>
    <x v="89"/>
    <x v="0"/>
  </r>
  <r>
    <x v="103"/>
    <x v="4"/>
    <x v="4"/>
    <x v="5"/>
    <n v="6110.63"/>
    <n v="4"/>
    <n v="24442.52"/>
    <x v="76"/>
    <x v="0"/>
  </r>
  <r>
    <x v="104"/>
    <x v="0"/>
    <x v="0"/>
    <x v="0"/>
    <n v="48358.17"/>
    <n v="1"/>
    <n v="48358.17"/>
    <x v="54"/>
    <x v="2"/>
  </r>
  <r>
    <x v="105"/>
    <x v="2"/>
    <x v="2"/>
    <x v="5"/>
    <n v="5440.55"/>
    <n v="3"/>
    <n v="16321.65"/>
    <x v="90"/>
    <x v="0"/>
  </r>
  <r>
    <x v="106"/>
    <x v="1"/>
    <x v="1"/>
    <x v="0"/>
    <n v="25395.39"/>
    <n v="2"/>
    <n v="50790.78"/>
    <x v="91"/>
    <x v="0"/>
  </r>
  <r>
    <x v="107"/>
    <x v="5"/>
    <x v="5"/>
    <x v="3"/>
    <n v="3249.81"/>
    <n v="5"/>
    <n v="16249.05"/>
    <x v="57"/>
    <x v="0"/>
  </r>
  <r>
    <x v="108"/>
    <x v="3"/>
    <x v="3"/>
    <x v="4"/>
    <n v="3977.83"/>
    <n v="3"/>
    <n v="11933.49"/>
    <x v="92"/>
    <x v="1"/>
  </r>
  <r>
    <x v="109"/>
    <x v="4"/>
    <x v="4"/>
    <x v="0"/>
    <n v="70377.740000000005"/>
    <n v="3"/>
    <n v="211133.22"/>
    <x v="93"/>
    <x v="3"/>
  </r>
  <r>
    <x v="110"/>
    <x v="1"/>
    <x v="1"/>
    <x v="0"/>
    <n v="23193.07"/>
    <n v="1"/>
    <n v="23193.07"/>
    <x v="94"/>
    <x v="1"/>
  </r>
  <r>
    <x v="111"/>
    <x v="3"/>
    <x v="3"/>
    <x v="1"/>
    <n v="3285.68"/>
    <n v="5"/>
    <n v="16428.400000000001"/>
    <x v="95"/>
    <x v="2"/>
  </r>
  <r>
    <x v="112"/>
    <x v="5"/>
    <x v="5"/>
    <x v="2"/>
    <n v="35846.980000000003"/>
    <n v="1"/>
    <n v="35846.980000000003"/>
    <x v="96"/>
    <x v="3"/>
  </r>
  <r>
    <x v="113"/>
    <x v="2"/>
    <x v="2"/>
    <x v="4"/>
    <n v="13232.04"/>
    <n v="2"/>
    <n v="26464.080000000002"/>
    <x v="97"/>
    <x v="2"/>
  </r>
  <r>
    <x v="114"/>
    <x v="3"/>
    <x v="3"/>
    <x v="4"/>
    <n v="9190.59"/>
    <n v="2"/>
    <n v="18381.18"/>
    <x v="98"/>
    <x v="3"/>
  </r>
  <r>
    <x v="115"/>
    <x v="0"/>
    <x v="0"/>
    <x v="0"/>
    <n v="47727.51"/>
    <n v="3"/>
    <n v="143182.53"/>
    <x v="50"/>
    <x v="0"/>
  </r>
  <r>
    <x v="116"/>
    <x v="0"/>
    <x v="0"/>
    <x v="0"/>
    <n v="12634.39"/>
    <n v="1"/>
    <n v="12634.39"/>
    <x v="99"/>
    <x v="3"/>
  </r>
  <r>
    <x v="117"/>
    <x v="2"/>
    <x v="2"/>
    <x v="5"/>
    <n v="5419.29"/>
    <n v="2"/>
    <n v="10838.58"/>
    <x v="100"/>
    <x v="3"/>
  </r>
  <r>
    <x v="118"/>
    <x v="1"/>
    <x v="1"/>
    <x v="3"/>
    <n v="1389.52"/>
    <n v="5"/>
    <n v="6947.6"/>
    <x v="101"/>
    <x v="3"/>
  </r>
  <r>
    <x v="119"/>
    <x v="2"/>
    <x v="2"/>
    <x v="4"/>
    <n v="5674.87"/>
    <n v="4"/>
    <n v="22699.48"/>
    <x v="69"/>
    <x v="3"/>
  </r>
  <r>
    <x v="120"/>
    <x v="2"/>
    <x v="2"/>
    <x v="2"/>
    <n v="8946.82"/>
    <n v="2"/>
    <n v="17893.64"/>
    <x v="102"/>
    <x v="3"/>
  </r>
  <r>
    <x v="121"/>
    <x v="2"/>
    <x v="2"/>
    <x v="0"/>
    <n v="25462.38"/>
    <n v="3"/>
    <n v="76387.14"/>
    <x v="75"/>
    <x v="3"/>
  </r>
  <r>
    <x v="122"/>
    <x v="3"/>
    <x v="3"/>
    <x v="5"/>
    <n v="2716.88"/>
    <n v="4"/>
    <n v="10867.52"/>
    <x v="103"/>
    <x v="3"/>
  </r>
  <r>
    <x v="123"/>
    <x v="1"/>
    <x v="1"/>
    <x v="0"/>
    <n v="34500.080000000002"/>
    <n v="3"/>
    <n v="103500.24"/>
    <x v="104"/>
    <x v="3"/>
  </r>
  <r>
    <x v="124"/>
    <x v="3"/>
    <x v="3"/>
    <x v="1"/>
    <n v="2527.91"/>
    <n v="4"/>
    <n v="10111.64"/>
    <x v="105"/>
    <x v="1"/>
  </r>
  <r>
    <x v="125"/>
    <x v="1"/>
    <x v="1"/>
    <x v="1"/>
    <n v="2558.19"/>
    <n v="1"/>
    <n v="2558.19"/>
    <x v="81"/>
    <x v="1"/>
  </r>
  <r>
    <x v="126"/>
    <x v="5"/>
    <x v="5"/>
    <x v="1"/>
    <n v="6638.34"/>
    <n v="3"/>
    <n v="19915.02"/>
    <x v="106"/>
    <x v="1"/>
  </r>
  <r>
    <x v="127"/>
    <x v="3"/>
    <x v="3"/>
    <x v="2"/>
    <n v="7314.99"/>
    <n v="2"/>
    <n v="14629.98"/>
    <x v="107"/>
    <x v="1"/>
  </r>
  <r>
    <x v="128"/>
    <x v="3"/>
    <x v="3"/>
    <x v="2"/>
    <n v="34755.949999999997"/>
    <n v="1"/>
    <n v="34755.949999999997"/>
    <x v="71"/>
    <x v="3"/>
  </r>
  <r>
    <x v="129"/>
    <x v="2"/>
    <x v="2"/>
    <x v="4"/>
    <n v="18895.759999999998"/>
    <n v="1"/>
    <n v="18895.759999999998"/>
    <x v="108"/>
    <x v="3"/>
  </r>
  <r>
    <x v="130"/>
    <x v="3"/>
    <x v="3"/>
    <x v="4"/>
    <n v="8707.8700000000008"/>
    <n v="1"/>
    <n v="8707.8700000000008"/>
    <x v="109"/>
    <x v="3"/>
  </r>
  <r>
    <x v="131"/>
    <x v="4"/>
    <x v="4"/>
    <x v="1"/>
    <n v="10842.93"/>
    <n v="4"/>
    <n v="43371.72"/>
    <x v="110"/>
    <x v="0"/>
  </r>
  <r>
    <x v="132"/>
    <x v="2"/>
    <x v="2"/>
    <x v="0"/>
    <n v="8095.09"/>
    <n v="2"/>
    <n v="16190.18"/>
    <x v="111"/>
    <x v="0"/>
  </r>
  <r>
    <x v="133"/>
    <x v="5"/>
    <x v="5"/>
    <x v="2"/>
    <n v="3104.92"/>
    <n v="1"/>
    <n v="3104.92"/>
    <x v="112"/>
    <x v="0"/>
  </r>
  <r>
    <x v="134"/>
    <x v="2"/>
    <x v="2"/>
    <x v="4"/>
    <n v="14510.97"/>
    <n v="3"/>
    <n v="43532.91"/>
    <x v="113"/>
    <x v="1"/>
  </r>
  <r>
    <x v="135"/>
    <x v="3"/>
    <x v="3"/>
    <x v="3"/>
    <n v="3817.06"/>
    <n v="7"/>
    <n v="26719.42"/>
    <x v="114"/>
    <x v="2"/>
  </r>
  <r>
    <x v="136"/>
    <x v="4"/>
    <x v="4"/>
    <x v="1"/>
    <n v="10163.780000000001"/>
    <n v="5"/>
    <n v="50818.9"/>
    <x v="115"/>
    <x v="1"/>
  </r>
  <r>
    <x v="137"/>
    <x v="1"/>
    <x v="1"/>
    <x v="1"/>
    <n v="964.77"/>
    <n v="5"/>
    <n v="4823.8500000000004"/>
    <x v="116"/>
    <x v="0"/>
  </r>
  <r>
    <x v="138"/>
    <x v="0"/>
    <x v="0"/>
    <x v="0"/>
    <n v="58446.5"/>
    <n v="3"/>
    <n v="175339.5"/>
    <x v="73"/>
    <x v="0"/>
  </r>
  <r>
    <x v="139"/>
    <x v="3"/>
    <x v="3"/>
    <x v="2"/>
    <n v="19450.400000000001"/>
    <n v="1"/>
    <n v="19450.400000000001"/>
    <x v="117"/>
    <x v="0"/>
  </r>
  <r>
    <x v="140"/>
    <x v="1"/>
    <x v="1"/>
    <x v="3"/>
    <n v="1551.52"/>
    <n v="8"/>
    <n v="12412.16"/>
    <x v="118"/>
    <x v="0"/>
  </r>
  <r>
    <x v="141"/>
    <x v="1"/>
    <x v="1"/>
    <x v="5"/>
    <n v="1466.89"/>
    <n v="2"/>
    <n v="2933.78"/>
    <x v="119"/>
    <x v="1"/>
  </r>
  <r>
    <x v="142"/>
    <x v="4"/>
    <x v="4"/>
    <x v="5"/>
    <n v="7968.52"/>
    <n v="3"/>
    <n v="23905.56"/>
    <x v="120"/>
    <x v="0"/>
  </r>
  <r>
    <x v="143"/>
    <x v="2"/>
    <x v="2"/>
    <x v="5"/>
    <n v="602.94000000000005"/>
    <n v="4"/>
    <n v="2411.7600000000002"/>
    <x v="106"/>
    <x v="0"/>
  </r>
  <r>
    <x v="144"/>
    <x v="1"/>
    <x v="1"/>
    <x v="3"/>
    <n v="4143.6899999999996"/>
    <n v="7"/>
    <n v="29005.83"/>
    <x v="121"/>
    <x v="1"/>
  </r>
  <r>
    <x v="145"/>
    <x v="5"/>
    <x v="5"/>
    <x v="3"/>
    <n v="3215.5"/>
    <n v="5"/>
    <n v="16077.5"/>
    <x v="122"/>
    <x v="0"/>
  </r>
  <r>
    <x v="146"/>
    <x v="5"/>
    <x v="5"/>
    <x v="5"/>
    <n v="5907.14"/>
    <n v="5"/>
    <n v="29535.7"/>
    <x v="69"/>
    <x v="3"/>
  </r>
  <r>
    <x v="147"/>
    <x v="1"/>
    <x v="1"/>
    <x v="5"/>
    <n v="5722.57"/>
    <n v="1"/>
    <n v="5722.57"/>
    <x v="123"/>
    <x v="0"/>
  </r>
  <r>
    <x v="148"/>
    <x v="1"/>
    <x v="1"/>
    <x v="1"/>
    <n v="10343.68"/>
    <n v="1"/>
    <n v="10343.68"/>
    <x v="124"/>
    <x v="0"/>
  </r>
  <r>
    <x v="149"/>
    <x v="3"/>
    <x v="3"/>
    <x v="4"/>
    <n v="3920.7"/>
    <n v="1"/>
    <n v="3920.7"/>
    <x v="125"/>
    <x v="3"/>
  </r>
  <r>
    <x v="150"/>
    <x v="0"/>
    <x v="0"/>
    <x v="0"/>
    <n v="861.19"/>
    <n v="3"/>
    <n v="2583.5700000000002"/>
    <x v="126"/>
    <x v="2"/>
  </r>
  <r>
    <x v="151"/>
    <x v="4"/>
    <x v="4"/>
    <x v="4"/>
    <n v="12091.01"/>
    <n v="2"/>
    <n v="24182.02"/>
    <x v="127"/>
    <x v="3"/>
  </r>
  <r>
    <x v="152"/>
    <x v="3"/>
    <x v="3"/>
    <x v="0"/>
    <n v="27056.31"/>
    <n v="2"/>
    <n v="54112.62"/>
    <x v="128"/>
    <x v="0"/>
  </r>
  <r>
    <x v="153"/>
    <x v="1"/>
    <x v="1"/>
    <x v="0"/>
    <n v="9985.02"/>
    <n v="2"/>
    <n v="19970.04"/>
    <x v="129"/>
    <x v="0"/>
  </r>
  <r>
    <x v="154"/>
    <x v="3"/>
    <x v="3"/>
    <x v="1"/>
    <n v="2477.8200000000002"/>
    <n v="3"/>
    <n v="7433.46"/>
    <x v="130"/>
    <x v="2"/>
  </r>
  <r>
    <x v="155"/>
    <x v="2"/>
    <x v="2"/>
    <x v="0"/>
    <n v="25415.8"/>
    <n v="2"/>
    <n v="50831.6"/>
    <x v="131"/>
    <x v="0"/>
  </r>
  <r>
    <x v="156"/>
    <x v="5"/>
    <x v="5"/>
    <x v="0"/>
    <n v="6011.32"/>
    <n v="1"/>
    <n v="6011.32"/>
    <x v="132"/>
    <x v="3"/>
  </r>
  <r>
    <x v="157"/>
    <x v="2"/>
    <x v="2"/>
    <x v="0"/>
    <n v="5022.96"/>
    <n v="1"/>
    <n v="5022.96"/>
    <x v="133"/>
    <x v="3"/>
  </r>
  <r>
    <x v="158"/>
    <x v="2"/>
    <x v="2"/>
    <x v="1"/>
    <n v="11017.51"/>
    <n v="5"/>
    <n v="55087.55"/>
    <x v="27"/>
    <x v="1"/>
  </r>
  <r>
    <x v="159"/>
    <x v="0"/>
    <x v="0"/>
    <x v="5"/>
    <n v="2565.61"/>
    <n v="3"/>
    <n v="7696.83"/>
    <x v="134"/>
    <x v="3"/>
  </r>
  <r>
    <x v="160"/>
    <x v="3"/>
    <x v="3"/>
    <x v="0"/>
    <n v="73681.52"/>
    <n v="1"/>
    <n v="73681.52"/>
    <x v="52"/>
    <x v="1"/>
  </r>
  <r>
    <x v="161"/>
    <x v="4"/>
    <x v="4"/>
    <x v="2"/>
    <n v="48253.98"/>
    <n v="2"/>
    <n v="96507.96"/>
    <x v="135"/>
    <x v="3"/>
  </r>
  <r>
    <x v="162"/>
    <x v="5"/>
    <x v="5"/>
    <x v="5"/>
    <n v="1226.31"/>
    <n v="2"/>
    <n v="2452.62"/>
    <x v="110"/>
    <x v="1"/>
  </r>
  <r>
    <x v="163"/>
    <x v="3"/>
    <x v="3"/>
    <x v="0"/>
    <n v="53847.38"/>
    <n v="1"/>
    <n v="53847.38"/>
    <x v="136"/>
    <x v="1"/>
  </r>
  <r>
    <x v="164"/>
    <x v="1"/>
    <x v="1"/>
    <x v="0"/>
    <n v="45379.72"/>
    <n v="1"/>
    <n v="45379.72"/>
    <x v="137"/>
    <x v="0"/>
  </r>
  <r>
    <x v="165"/>
    <x v="5"/>
    <x v="5"/>
    <x v="5"/>
    <n v="5556.11"/>
    <n v="4"/>
    <n v="22224.44"/>
    <x v="45"/>
    <x v="3"/>
  </r>
  <r>
    <x v="166"/>
    <x v="0"/>
    <x v="0"/>
    <x v="5"/>
    <n v="859.91"/>
    <n v="1"/>
    <n v="859.91"/>
    <x v="138"/>
    <x v="0"/>
  </r>
  <r>
    <x v="167"/>
    <x v="0"/>
    <x v="0"/>
    <x v="1"/>
    <n v="2506.15"/>
    <n v="2"/>
    <n v="5012.3"/>
    <x v="111"/>
    <x v="1"/>
  </r>
  <r>
    <x v="168"/>
    <x v="5"/>
    <x v="5"/>
    <x v="5"/>
    <n v="705.45"/>
    <n v="3"/>
    <n v="2116.35"/>
    <x v="57"/>
    <x v="1"/>
  </r>
  <r>
    <x v="169"/>
    <x v="4"/>
    <x v="4"/>
    <x v="0"/>
    <n v="45626.76"/>
    <n v="2"/>
    <n v="91253.52"/>
    <x v="2"/>
    <x v="1"/>
  </r>
  <r>
    <x v="170"/>
    <x v="5"/>
    <x v="5"/>
    <x v="3"/>
    <n v="4933.63"/>
    <n v="9"/>
    <n v="44402.67"/>
    <x v="139"/>
    <x v="1"/>
  </r>
  <r>
    <x v="171"/>
    <x v="1"/>
    <x v="1"/>
    <x v="5"/>
    <n v="5408.68"/>
    <n v="5"/>
    <n v="27043.4"/>
    <x v="97"/>
    <x v="3"/>
  </r>
  <r>
    <x v="172"/>
    <x v="5"/>
    <x v="5"/>
    <x v="3"/>
    <n v="3568.27"/>
    <n v="3"/>
    <n v="10704.81"/>
    <x v="140"/>
    <x v="1"/>
  </r>
  <r>
    <x v="173"/>
    <x v="4"/>
    <x v="4"/>
    <x v="5"/>
    <n v="7878.22"/>
    <n v="3"/>
    <n v="23634.66"/>
    <x v="141"/>
    <x v="3"/>
  </r>
  <r>
    <x v="174"/>
    <x v="3"/>
    <x v="3"/>
    <x v="1"/>
    <n v="8232.74"/>
    <n v="1"/>
    <n v="8232.74"/>
    <x v="142"/>
    <x v="1"/>
  </r>
  <r>
    <x v="175"/>
    <x v="3"/>
    <x v="3"/>
    <x v="5"/>
    <n v="417.43"/>
    <n v="4"/>
    <n v="1669.72"/>
    <x v="143"/>
    <x v="2"/>
  </r>
  <r>
    <x v="176"/>
    <x v="1"/>
    <x v="1"/>
    <x v="1"/>
    <n v="10443.969999999999"/>
    <n v="1"/>
    <n v="10443.969999999999"/>
    <x v="140"/>
    <x v="1"/>
  </r>
  <r>
    <x v="177"/>
    <x v="4"/>
    <x v="4"/>
    <x v="3"/>
    <n v="1855.16"/>
    <n v="1"/>
    <n v="1855.16"/>
    <x v="144"/>
    <x v="0"/>
  </r>
  <r>
    <x v="178"/>
    <x v="4"/>
    <x v="4"/>
    <x v="0"/>
    <n v="1123.78"/>
    <n v="3"/>
    <n v="3371.34"/>
    <x v="145"/>
    <x v="3"/>
  </r>
  <r>
    <x v="179"/>
    <x v="0"/>
    <x v="0"/>
    <x v="0"/>
    <n v="38436.78"/>
    <n v="1"/>
    <n v="38436.78"/>
    <x v="146"/>
    <x v="0"/>
  </r>
  <r>
    <x v="180"/>
    <x v="4"/>
    <x v="4"/>
    <x v="5"/>
    <n v="7502.42"/>
    <n v="3"/>
    <n v="22507.26"/>
    <x v="45"/>
    <x v="0"/>
  </r>
  <r>
    <x v="181"/>
    <x v="4"/>
    <x v="4"/>
    <x v="0"/>
    <n v="19893.939999999999"/>
    <n v="1"/>
    <n v="19893.939999999999"/>
    <x v="54"/>
    <x v="0"/>
  </r>
  <r>
    <x v="182"/>
    <x v="1"/>
    <x v="1"/>
    <x v="0"/>
    <n v="37270.28"/>
    <n v="3"/>
    <n v="111810.84"/>
    <x v="147"/>
    <x v="0"/>
  </r>
  <r>
    <x v="183"/>
    <x v="5"/>
    <x v="5"/>
    <x v="0"/>
    <n v="13694.25"/>
    <n v="3"/>
    <n v="41082.75"/>
    <x v="148"/>
    <x v="3"/>
  </r>
  <r>
    <x v="184"/>
    <x v="0"/>
    <x v="0"/>
    <x v="0"/>
    <n v="5080.8"/>
    <n v="2"/>
    <n v="10161.6"/>
    <x v="149"/>
    <x v="2"/>
  </r>
  <r>
    <x v="185"/>
    <x v="2"/>
    <x v="2"/>
    <x v="5"/>
    <n v="736.31"/>
    <n v="5"/>
    <n v="3681.55"/>
    <x v="150"/>
    <x v="3"/>
  </r>
  <r>
    <x v="186"/>
    <x v="5"/>
    <x v="5"/>
    <x v="3"/>
    <n v="3648.7"/>
    <n v="5"/>
    <n v="18243.5"/>
    <x v="151"/>
    <x v="0"/>
  </r>
  <r>
    <x v="187"/>
    <x v="3"/>
    <x v="3"/>
    <x v="4"/>
    <n v="17322.27"/>
    <n v="1"/>
    <n v="17322.27"/>
    <x v="152"/>
    <x v="2"/>
  </r>
  <r>
    <x v="188"/>
    <x v="0"/>
    <x v="0"/>
    <x v="0"/>
    <n v="11432.77"/>
    <n v="1"/>
    <n v="11432.77"/>
    <x v="153"/>
    <x v="3"/>
  </r>
  <r>
    <x v="189"/>
    <x v="5"/>
    <x v="5"/>
    <x v="2"/>
    <n v="15127.61"/>
    <n v="1"/>
    <n v="15127.61"/>
    <x v="113"/>
    <x v="0"/>
  </r>
  <r>
    <x v="190"/>
    <x v="4"/>
    <x v="4"/>
    <x v="1"/>
    <n v="2581.84"/>
    <n v="2"/>
    <n v="5163.68"/>
    <x v="154"/>
    <x v="3"/>
  </r>
  <r>
    <x v="191"/>
    <x v="5"/>
    <x v="5"/>
    <x v="3"/>
    <n v="182.94"/>
    <n v="4"/>
    <n v="731.76"/>
    <x v="155"/>
    <x v="2"/>
  </r>
  <r>
    <x v="192"/>
    <x v="3"/>
    <x v="3"/>
    <x v="4"/>
    <n v="11202.6"/>
    <n v="1"/>
    <n v="11202.6"/>
    <x v="156"/>
    <x v="0"/>
  </r>
  <r>
    <x v="193"/>
    <x v="0"/>
    <x v="0"/>
    <x v="4"/>
    <n v="14088.47"/>
    <n v="3"/>
    <n v="42265.41"/>
    <x v="157"/>
    <x v="3"/>
  </r>
  <r>
    <x v="194"/>
    <x v="3"/>
    <x v="3"/>
    <x v="4"/>
    <n v="13063.19"/>
    <n v="1"/>
    <n v="13063.19"/>
    <x v="158"/>
    <x v="2"/>
  </r>
  <r>
    <x v="195"/>
    <x v="3"/>
    <x v="3"/>
    <x v="0"/>
    <n v="29593.57"/>
    <n v="2"/>
    <n v="59187.14"/>
    <x v="159"/>
    <x v="0"/>
  </r>
  <r>
    <x v="196"/>
    <x v="2"/>
    <x v="2"/>
    <x v="3"/>
    <n v="2797.3"/>
    <n v="4"/>
    <n v="11189.2"/>
    <x v="130"/>
    <x v="3"/>
  </r>
  <r>
    <x v="197"/>
    <x v="0"/>
    <x v="0"/>
    <x v="2"/>
    <n v="5610.87"/>
    <n v="3"/>
    <n v="16832.61"/>
    <x v="160"/>
    <x v="1"/>
  </r>
  <r>
    <x v="198"/>
    <x v="3"/>
    <x v="3"/>
    <x v="3"/>
    <n v="813.8"/>
    <n v="6"/>
    <n v="4882.8"/>
    <x v="161"/>
    <x v="3"/>
  </r>
  <r>
    <x v="199"/>
    <x v="5"/>
    <x v="5"/>
    <x v="5"/>
    <n v="7461.18"/>
    <n v="5"/>
    <n v="37305.9"/>
    <x v="11"/>
    <x v="2"/>
  </r>
  <r>
    <x v="200"/>
    <x v="0"/>
    <x v="0"/>
    <x v="1"/>
    <n v="9209.64"/>
    <n v="3"/>
    <n v="27628.92"/>
    <x v="162"/>
    <x v="3"/>
  </r>
  <r>
    <x v="201"/>
    <x v="4"/>
    <x v="4"/>
    <x v="1"/>
    <n v="11096.05"/>
    <n v="2"/>
    <n v="22192.1"/>
    <x v="163"/>
    <x v="0"/>
  </r>
  <r>
    <x v="202"/>
    <x v="1"/>
    <x v="1"/>
    <x v="5"/>
    <n v="7341.77"/>
    <n v="3"/>
    <n v="22025.31"/>
    <x v="164"/>
    <x v="0"/>
  </r>
  <r>
    <x v="203"/>
    <x v="3"/>
    <x v="3"/>
    <x v="2"/>
    <n v="32820.239999999998"/>
    <n v="2"/>
    <n v="65640.479999999996"/>
    <x v="73"/>
    <x v="3"/>
  </r>
  <r>
    <x v="204"/>
    <x v="3"/>
    <x v="3"/>
    <x v="0"/>
    <n v="69675.31"/>
    <n v="2"/>
    <n v="139350.62"/>
    <x v="144"/>
    <x v="1"/>
  </r>
  <r>
    <x v="205"/>
    <x v="5"/>
    <x v="5"/>
    <x v="0"/>
    <n v="31719.439999999999"/>
    <n v="2"/>
    <n v="63438.879999999997"/>
    <x v="165"/>
    <x v="2"/>
  </r>
  <r>
    <x v="206"/>
    <x v="3"/>
    <x v="3"/>
    <x v="2"/>
    <n v="1177.2"/>
    <n v="2"/>
    <n v="2354.4"/>
    <x v="72"/>
    <x v="0"/>
  </r>
  <r>
    <x v="207"/>
    <x v="2"/>
    <x v="2"/>
    <x v="1"/>
    <n v="1032.08"/>
    <n v="2"/>
    <n v="2064.16"/>
    <x v="166"/>
    <x v="1"/>
  </r>
  <r>
    <x v="208"/>
    <x v="3"/>
    <x v="3"/>
    <x v="3"/>
    <n v="591.96"/>
    <n v="4"/>
    <n v="2367.84"/>
    <x v="72"/>
    <x v="3"/>
  </r>
  <r>
    <x v="209"/>
    <x v="1"/>
    <x v="1"/>
    <x v="3"/>
    <n v="522"/>
    <n v="10"/>
    <n v="5220"/>
    <x v="167"/>
    <x v="3"/>
  </r>
  <r>
    <x v="210"/>
    <x v="2"/>
    <x v="2"/>
    <x v="5"/>
    <n v="2878.45"/>
    <n v="4"/>
    <n v="11513.8"/>
    <x v="95"/>
    <x v="0"/>
  </r>
  <r>
    <x v="211"/>
    <x v="2"/>
    <x v="2"/>
    <x v="5"/>
    <n v="5640.04"/>
    <n v="1"/>
    <n v="5640.04"/>
    <x v="19"/>
    <x v="1"/>
  </r>
  <r>
    <x v="212"/>
    <x v="3"/>
    <x v="3"/>
    <x v="1"/>
    <n v="9550.59"/>
    <n v="5"/>
    <n v="47752.95"/>
    <x v="168"/>
    <x v="0"/>
  </r>
  <r>
    <x v="213"/>
    <x v="0"/>
    <x v="0"/>
    <x v="3"/>
    <n v="2971.56"/>
    <n v="8"/>
    <n v="23772.48"/>
    <x v="62"/>
    <x v="1"/>
  </r>
  <r>
    <x v="214"/>
    <x v="2"/>
    <x v="2"/>
    <x v="3"/>
    <n v="774.86"/>
    <n v="1"/>
    <n v="774.86"/>
    <x v="169"/>
    <x v="0"/>
  </r>
  <r>
    <x v="215"/>
    <x v="0"/>
    <x v="0"/>
    <x v="1"/>
    <n v="9050.4500000000007"/>
    <n v="4"/>
    <n v="36201.800000000003"/>
    <x v="170"/>
    <x v="3"/>
  </r>
  <r>
    <x v="216"/>
    <x v="3"/>
    <x v="3"/>
    <x v="3"/>
    <n v="1806.27"/>
    <n v="6"/>
    <n v="10837.62"/>
    <x v="171"/>
    <x v="3"/>
  </r>
  <r>
    <x v="217"/>
    <x v="3"/>
    <x v="3"/>
    <x v="1"/>
    <n v="452.02"/>
    <n v="5"/>
    <n v="2260.1"/>
    <x v="172"/>
    <x v="0"/>
  </r>
  <r>
    <x v="218"/>
    <x v="4"/>
    <x v="4"/>
    <x v="2"/>
    <n v="14748.84"/>
    <n v="2"/>
    <n v="29497.68"/>
    <x v="172"/>
    <x v="0"/>
  </r>
  <r>
    <x v="219"/>
    <x v="5"/>
    <x v="5"/>
    <x v="0"/>
    <n v="25330.560000000001"/>
    <n v="2"/>
    <n v="50661.120000000003"/>
    <x v="25"/>
    <x v="1"/>
  </r>
  <r>
    <x v="220"/>
    <x v="5"/>
    <x v="5"/>
    <x v="0"/>
    <n v="21149.02"/>
    <n v="1"/>
    <n v="21149.02"/>
    <x v="173"/>
    <x v="1"/>
  </r>
  <r>
    <x v="221"/>
    <x v="1"/>
    <x v="1"/>
    <x v="0"/>
    <n v="61040.77"/>
    <n v="1"/>
    <n v="61040.77"/>
    <x v="33"/>
    <x v="1"/>
  </r>
  <r>
    <x v="222"/>
    <x v="2"/>
    <x v="2"/>
    <x v="4"/>
    <n v="15270.55"/>
    <n v="3"/>
    <n v="45811.65"/>
    <x v="32"/>
    <x v="1"/>
  </r>
  <r>
    <x v="223"/>
    <x v="4"/>
    <x v="4"/>
    <x v="2"/>
    <n v="35082.050000000003"/>
    <n v="3"/>
    <n v="105246.15"/>
    <x v="119"/>
    <x v="3"/>
  </r>
  <r>
    <x v="224"/>
    <x v="5"/>
    <x v="5"/>
    <x v="0"/>
    <n v="11114.18"/>
    <n v="3"/>
    <n v="33342.54"/>
    <x v="140"/>
    <x v="0"/>
  </r>
  <r>
    <x v="225"/>
    <x v="4"/>
    <x v="4"/>
    <x v="4"/>
    <n v="16214.33"/>
    <n v="4"/>
    <n v="64857.32"/>
    <x v="57"/>
    <x v="3"/>
  </r>
  <r>
    <x v="226"/>
    <x v="3"/>
    <x v="3"/>
    <x v="1"/>
    <n v="8222.9599999999991"/>
    <n v="4"/>
    <n v="32891.839999999997"/>
    <x v="174"/>
    <x v="0"/>
  </r>
  <r>
    <x v="227"/>
    <x v="1"/>
    <x v="1"/>
    <x v="1"/>
    <n v="2579.6"/>
    <n v="3"/>
    <n v="7738.8"/>
    <x v="175"/>
    <x v="3"/>
  </r>
  <r>
    <x v="228"/>
    <x v="2"/>
    <x v="2"/>
    <x v="4"/>
    <n v="13067.45"/>
    <n v="2"/>
    <n v="26134.9"/>
    <x v="176"/>
    <x v="3"/>
  </r>
  <r>
    <x v="229"/>
    <x v="3"/>
    <x v="3"/>
    <x v="0"/>
    <n v="36676.559999999998"/>
    <n v="3"/>
    <n v="110029.68"/>
    <x v="19"/>
    <x v="2"/>
  </r>
  <r>
    <x v="230"/>
    <x v="3"/>
    <x v="3"/>
    <x v="0"/>
    <n v="33399.769999999997"/>
    <n v="1"/>
    <n v="33399.769999999997"/>
    <x v="56"/>
    <x v="1"/>
  </r>
  <r>
    <x v="231"/>
    <x v="1"/>
    <x v="1"/>
    <x v="2"/>
    <n v="6494.04"/>
    <n v="1"/>
    <n v="6494.04"/>
    <x v="177"/>
    <x v="2"/>
  </r>
  <r>
    <x v="232"/>
    <x v="4"/>
    <x v="4"/>
    <x v="0"/>
    <n v="39258.18"/>
    <n v="3"/>
    <n v="117774.54"/>
    <x v="178"/>
    <x v="3"/>
  </r>
  <r>
    <x v="233"/>
    <x v="2"/>
    <x v="2"/>
    <x v="2"/>
    <n v="5896.66"/>
    <n v="2"/>
    <n v="11793.32"/>
    <x v="179"/>
    <x v="0"/>
  </r>
  <r>
    <x v="234"/>
    <x v="4"/>
    <x v="4"/>
    <x v="0"/>
    <n v="12987.6"/>
    <n v="2"/>
    <n v="25975.200000000001"/>
    <x v="89"/>
    <x v="0"/>
  </r>
  <r>
    <x v="235"/>
    <x v="0"/>
    <x v="0"/>
    <x v="0"/>
    <n v="10634.94"/>
    <n v="3"/>
    <n v="31904.82"/>
    <x v="180"/>
    <x v="0"/>
  </r>
  <r>
    <x v="236"/>
    <x v="1"/>
    <x v="1"/>
    <x v="0"/>
    <n v="71594.83"/>
    <n v="3"/>
    <n v="214784.49"/>
    <x v="48"/>
    <x v="3"/>
  </r>
  <r>
    <x v="237"/>
    <x v="0"/>
    <x v="0"/>
    <x v="1"/>
    <n v="3632.92"/>
    <n v="2"/>
    <n v="7265.84"/>
    <x v="181"/>
    <x v="1"/>
  </r>
  <r>
    <x v="238"/>
    <x v="3"/>
    <x v="3"/>
    <x v="0"/>
    <n v="27156.16"/>
    <n v="2"/>
    <n v="54312.32"/>
    <x v="144"/>
    <x v="1"/>
  </r>
  <r>
    <x v="239"/>
    <x v="3"/>
    <x v="3"/>
    <x v="0"/>
    <n v="24698.38"/>
    <n v="2"/>
    <n v="49396.76"/>
    <x v="182"/>
    <x v="2"/>
  </r>
  <r>
    <x v="240"/>
    <x v="0"/>
    <x v="0"/>
    <x v="5"/>
    <n v="7196.18"/>
    <n v="4"/>
    <n v="28784.720000000001"/>
    <x v="86"/>
    <x v="3"/>
  </r>
  <r>
    <x v="241"/>
    <x v="0"/>
    <x v="0"/>
    <x v="3"/>
    <n v="2836.68"/>
    <n v="10"/>
    <n v="28366.799999999999"/>
    <x v="158"/>
    <x v="3"/>
  </r>
  <r>
    <x v="242"/>
    <x v="5"/>
    <x v="5"/>
    <x v="3"/>
    <n v="4599.84"/>
    <n v="6"/>
    <n v="27599.040000000001"/>
    <x v="102"/>
    <x v="1"/>
  </r>
  <r>
    <x v="243"/>
    <x v="1"/>
    <x v="1"/>
    <x v="0"/>
    <n v="23054.43"/>
    <n v="3"/>
    <n v="69163.289999999994"/>
    <x v="168"/>
    <x v="3"/>
  </r>
  <r>
    <x v="244"/>
    <x v="2"/>
    <x v="2"/>
    <x v="3"/>
    <n v="618.42999999999995"/>
    <n v="6"/>
    <n v="3710.58"/>
    <x v="20"/>
    <x v="1"/>
  </r>
  <r>
    <x v="245"/>
    <x v="0"/>
    <x v="0"/>
    <x v="3"/>
    <n v="2803.28"/>
    <n v="9"/>
    <n v="25229.52"/>
    <x v="58"/>
    <x v="3"/>
  </r>
  <r>
    <x v="246"/>
    <x v="2"/>
    <x v="2"/>
    <x v="2"/>
    <n v="17931.310000000001"/>
    <n v="2"/>
    <n v="35862.620000000003"/>
    <x v="73"/>
    <x v="3"/>
  </r>
  <r>
    <x v="247"/>
    <x v="1"/>
    <x v="1"/>
    <x v="0"/>
    <n v="60301.49"/>
    <n v="2"/>
    <n v="120602.98"/>
    <x v="183"/>
    <x v="2"/>
  </r>
  <r>
    <x v="248"/>
    <x v="5"/>
    <x v="5"/>
    <x v="4"/>
    <n v="17624.64"/>
    <n v="2"/>
    <n v="35249.279999999999"/>
    <x v="141"/>
    <x v="1"/>
  </r>
  <r>
    <x v="249"/>
    <x v="1"/>
    <x v="1"/>
    <x v="4"/>
    <n v="9609.7000000000007"/>
    <n v="4"/>
    <n v="38438.800000000003"/>
    <x v="184"/>
    <x v="1"/>
  </r>
  <r>
    <x v="250"/>
    <x v="2"/>
    <x v="2"/>
    <x v="0"/>
    <n v="72874.84"/>
    <n v="2"/>
    <n v="145749.68"/>
    <x v="115"/>
    <x v="2"/>
  </r>
  <r>
    <x v="251"/>
    <x v="0"/>
    <x v="0"/>
    <x v="0"/>
    <n v="41833.57"/>
    <n v="1"/>
    <n v="41833.57"/>
    <x v="163"/>
    <x v="0"/>
  </r>
  <r>
    <x v="252"/>
    <x v="1"/>
    <x v="1"/>
    <x v="0"/>
    <n v="20902.29"/>
    <n v="1"/>
    <n v="20902.29"/>
    <x v="185"/>
    <x v="1"/>
  </r>
  <r>
    <x v="253"/>
    <x v="5"/>
    <x v="5"/>
    <x v="2"/>
    <n v="24959.8"/>
    <n v="2"/>
    <n v="49919.6"/>
    <x v="45"/>
    <x v="2"/>
  </r>
  <r>
    <x v="254"/>
    <x v="5"/>
    <x v="5"/>
    <x v="0"/>
    <n v="3568.42"/>
    <n v="3"/>
    <n v="10705.26"/>
    <x v="156"/>
    <x v="0"/>
  </r>
  <r>
    <x v="255"/>
    <x v="0"/>
    <x v="0"/>
    <x v="5"/>
    <n v="6451.61"/>
    <n v="3"/>
    <n v="19354.830000000002"/>
    <x v="160"/>
    <x v="2"/>
  </r>
  <r>
    <x v="256"/>
    <x v="0"/>
    <x v="0"/>
    <x v="5"/>
    <n v="901.34"/>
    <n v="3"/>
    <n v="2704.02"/>
    <x v="186"/>
    <x v="0"/>
  </r>
  <r>
    <x v="257"/>
    <x v="3"/>
    <x v="3"/>
    <x v="5"/>
    <n v="2539.11"/>
    <n v="4"/>
    <n v="10156.44"/>
    <x v="187"/>
    <x v="0"/>
  </r>
  <r>
    <x v="258"/>
    <x v="3"/>
    <x v="3"/>
    <x v="1"/>
    <n v="6914.2"/>
    <n v="3"/>
    <n v="20742.599999999999"/>
    <x v="188"/>
    <x v="3"/>
  </r>
  <r>
    <x v="259"/>
    <x v="2"/>
    <x v="2"/>
    <x v="4"/>
    <n v="1146.6099999999999"/>
    <n v="4"/>
    <n v="4586.4399999999996"/>
    <x v="189"/>
    <x v="1"/>
  </r>
  <r>
    <x v="260"/>
    <x v="3"/>
    <x v="3"/>
    <x v="0"/>
    <n v="6685.31"/>
    <n v="2"/>
    <n v="13370.62"/>
    <x v="72"/>
    <x v="2"/>
  </r>
  <r>
    <x v="261"/>
    <x v="0"/>
    <x v="0"/>
    <x v="3"/>
    <n v="3495.78"/>
    <n v="8"/>
    <n v="27966.240000000002"/>
    <x v="190"/>
    <x v="0"/>
  </r>
  <r>
    <x v="262"/>
    <x v="5"/>
    <x v="5"/>
    <x v="3"/>
    <n v="405.3"/>
    <n v="8"/>
    <n v="3242.4"/>
    <x v="173"/>
    <x v="1"/>
  </r>
  <r>
    <x v="263"/>
    <x v="3"/>
    <x v="3"/>
    <x v="4"/>
    <n v="9698.5300000000007"/>
    <n v="3"/>
    <n v="29095.59"/>
    <x v="181"/>
    <x v="3"/>
  </r>
  <r>
    <x v="264"/>
    <x v="4"/>
    <x v="4"/>
    <x v="1"/>
    <n v="4262.74"/>
    <n v="1"/>
    <n v="4262.74"/>
    <x v="163"/>
    <x v="2"/>
  </r>
  <r>
    <x v="265"/>
    <x v="3"/>
    <x v="3"/>
    <x v="5"/>
    <n v="1901.83"/>
    <n v="3"/>
    <n v="5705.49"/>
    <x v="191"/>
    <x v="3"/>
  </r>
  <r>
    <x v="266"/>
    <x v="5"/>
    <x v="5"/>
    <x v="0"/>
    <n v="14807.39"/>
    <n v="1"/>
    <n v="14807.39"/>
    <x v="192"/>
    <x v="0"/>
  </r>
  <r>
    <x v="267"/>
    <x v="3"/>
    <x v="3"/>
    <x v="4"/>
    <n v="15339.2"/>
    <n v="3"/>
    <n v="46017.599999999999"/>
    <x v="190"/>
    <x v="1"/>
  </r>
  <r>
    <x v="268"/>
    <x v="3"/>
    <x v="3"/>
    <x v="1"/>
    <n v="11433.04"/>
    <n v="1"/>
    <n v="11433.04"/>
    <x v="69"/>
    <x v="0"/>
  </r>
  <r>
    <x v="269"/>
    <x v="3"/>
    <x v="3"/>
    <x v="1"/>
    <n v="1940.1"/>
    <n v="3"/>
    <n v="5820.3"/>
    <x v="102"/>
    <x v="0"/>
  </r>
  <r>
    <x v="270"/>
    <x v="3"/>
    <x v="3"/>
    <x v="4"/>
    <n v="19205.72"/>
    <n v="2"/>
    <n v="38411.440000000002"/>
    <x v="193"/>
    <x v="2"/>
  </r>
  <r>
    <x v="271"/>
    <x v="3"/>
    <x v="3"/>
    <x v="3"/>
    <n v="2994.07"/>
    <n v="1"/>
    <n v="2994.07"/>
    <x v="194"/>
    <x v="2"/>
  </r>
  <r>
    <x v="272"/>
    <x v="3"/>
    <x v="3"/>
    <x v="3"/>
    <n v="3226.22"/>
    <n v="2"/>
    <n v="6452.44"/>
    <x v="195"/>
    <x v="0"/>
  </r>
  <r>
    <x v="273"/>
    <x v="2"/>
    <x v="2"/>
    <x v="2"/>
    <n v="35786.39"/>
    <n v="2"/>
    <n v="71572.78"/>
    <x v="196"/>
    <x v="0"/>
  </r>
  <r>
    <x v="274"/>
    <x v="2"/>
    <x v="2"/>
    <x v="0"/>
    <n v="53045.62"/>
    <n v="1"/>
    <n v="53045.62"/>
    <x v="197"/>
    <x v="0"/>
  </r>
  <r>
    <x v="275"/>
    <x v="5"/>
    <x v="5"/>
    <x v="3"/>
    <n v="4108.0600000000004"/>
    <n v="9"/>
    <n v="36972.54"/>
    <x v="198"/>
    <x v="3"/>
  </r>
  <r>
    <x v="276"/>
    <x v="5"/>
    <x v="5"/>
    <x v="0"/>
    <n v="36673.370000000003"/>
    <n v="3"/>
    <n v="110020.11"/>
    <x v="199"/>
    <x v="2"/>
  </r>
  <r>
    <x v="277"/>
    <x v="1"/>
    <x v="1"/>
    <x v="0"/>
    <n v="40375.21"/>
    <n v="3"/>
    <n v="121125.63"/>
    <x v="200"/>
    <x v="3"/>
  </r>
  <r>
    <x v="278"/>
    <x v="0"/>
    <x v="0"/>
    <x v="5"/>
    <n v="2658.23"/>
    <n v="1"/>
    <n v="2658.23"/>
    <x v="36"/>
    <x v="0"/>
  </r>
  <r>
    <x v="279"/>
    <x v="0"/>
    <x v="0"/>
    <x v="2"/>
    <n v="6157.62"/>
    <n v="3"/>
    <n v="18472.86"/>
    <x v="87"/>
    <x v="2"/>
  </r>
  <r>
    <x v="280"/>
    <x v="3"/>
    <x v="3"/>
    <x v="3"/>
    <n v="3339.97"/>
    <n v="7"/>
    <n v="23379.79"/>
    <x v="201"/>
    <x v="1"/>
  </r>
  <r>
    <x v="281"/>
    <x v="3"/>
    <x v="3"/>
    <x v="3"/>
    <n v="216.37"/>
    <n v="4"/>
    <n v="865.48"/>
    <x v="152"/>
    <x v="3"/>
  </r>
  <r>
    <x v="282"/>
    <x v="5"/>
    <x v="5"/>
    <x v="1"/>
    <n v="3524.93"/>
    <n v="1"/>
    <n v="3524.93"/>
    <x v="18"/>
    <x v="1"/>
  </r>
  <r>
    <x v="283"/>
    <x v="5"/>
    <x v="5"/>
    <x v="2"/>
    <n v="5617.26"/>
    <n v="2"/>
    <n v="11234.52"/>
    <x v="90"/>
    <x v="0"/>
  </r>
  <r>
    <x v="284"/>
    <x v="2"/>
    <x v="2"/>
    <x v="4"/>
    <n v="4057.32"/>
    <n v="4"/>
    <n v="16229.28"/>
    <x v="202"/>
    <x v="3"/>
  </r>
  <r>
    <x v="285"/>
    <x v="1"/>
    <x v="1"/>
    <x v="4"/>
    <n v="12883"/>
    <n v="1"/>
    <n v="12883"/>
    <x v="91"/>
    <x v="3"/>
  </r>
  <r>
    <x v="286"/>
    <x v="3"/>
    <x v="3"/>
    <x v="3"/>
    <n v="3160.96"/>
    <n v="1"/>
    <n v="3160.96"/>
    <x v="157"/>
    <x v="0"/>
  </r>
  <r>
    <x v="287"/>
    <x v="5"/>
    <x v="5"/>
    <x v="3"/>
    <n v="2134.2199999999998"/>
    <n v="4"/>
    <n v="8536.8799999999992"/>
    <x v="203"/>
    <x v="0"/>
  </r>
  <r>
    <x v="288"/>
    <x v="1"/>
    <x v="1"/>
    <x v="1"/>
    <n v="1355.01"/>
    <n v="3"/>
    <n v="4065.03"/>
    <x v="204"/>
    <x v="3"/>
  </r>
  <r>
    <x v="289"/>
    <x v="3"/>
    <x v="3"/>
    <x v="1"/>
    <n v="5370.47"/>
    <n v="3"/>
    <n v="16111.41"/>
    <x v="190"/>
    <x v="3"/>
  </r>
  <r>
    <x v="290"/>
    <x v="0"/>
    <x v="0"/>
    <x v="1"/>
    <n v="4427.12"/>
    <n v="3"/>
    <n v="13281.36"/>
    <x v="205"/>
    <x v="0"/>
  </r>
  <r>
    <x v="291"/>
    <x v="3"/>
    <x v="3"/>
    <x v="2"/>
    <n v="36302.5"/>
    <n v="1"/>
    <n v="36302.5"/>
    <x v="206"/>
    <x v="0"/>
  </r>
  <r>
    <x v="292"/>
    <x v="4"/>
    <x v="4"/>
    <x v="1"/>
    <n v="7074.61"/>
    <n v="1"/>
    <n v="7074.61"/>
    <x v="207"/>
    <x v="2"/>
  </r>
  <r>
    <x v="293"/>
    <x v="3"/>
    <x v="3"/>
    <x v="3"/>
    <n v="2483.25"/>
    <n v="1"/>
    <n v="2483.25"/>
    <x v="208"/>
    <x v="1"/>
  </r>
  <r>
    <x v="294"/>
    <x v="0"/>
    <x v="0"/>
    <x v="3"/>
    <n v="2460.56"/>
    <n v="1"/>
    <n v="2460.56"/>
    <x v="209"/>
    <x v="3"/>
  </r>
  <r>
    <x v="295"/>
    <x v="4"/>
    <x v="4"/>
    <x v="3"/>
    <n v="4833.17"/>
    <n v="7"/>
    <n v="33832.19"/>
    <x v="158"/>
    <x v="3"/>
  </r>
  <r>
    <x v="296"/>
    <x v="4"/>
    <x v="4"/>
    <x v="0"/>
    <n v="56917.03"/>
    <n v="3"/>
    <n v="170751.09"/>
    <x v="20"/>
    <x v="0"/>
  </r>
  <r>
    <x v="297"/>
    <x v="0"/>
    <x v="0"/>
    <x v="0"/>
    <n v="37675.879999999997"/>
    <n v="2"/>
    <n v="75351.759999999995"/>
    <x v="210"/>
    <x v="3"/>
  </r>
  <r>
    <x v="298"/>
    <x v="0"/>
    <x v="0"/>
    <x v="2"/>
    <n v="24481.91"/>
    <n v="1"/>
    <n v="24481.91"/>
    <x v="125"/>
    <x v="3"/>
  </r>
  <r>
    <x v="299"/>
    <x v="2"/>
    <x v="2"/>
    <x v="3"/>
    <n v="181.07"/>
    <n v="5"/>
    <n v="905.35"/>
    <x v="211"/>
    <x v="0"/>
  </r>
  <r>
    <x v="300"/>
    <x v="0"/>
    <x v="0"/>
    <x v="0"/>
    <n v="70734.19"/>
    <n v="3"/>
    <n v="212202.57"/>
    <x v="152"/>
    <x v="0"/>
  </r>
  <r>
    <x v="301"/>
    <x v="3"/>
    <x v="3"/>
    <x v="1"/>
    <n v="4034.34"/>
    <n v="2"/>
    <n v="8068.68"/>
    <x v="212"/>
    <x v="0"/>
  </r>
  <r>
    <x v="302"/>
    <x v="1"/>
    <x v="1"/>
    <x v="5"/>
    <n v="2121.92"/>
    <n v="3"/>
    <n v="6365.76"/>
    <x v="180"/>
    <x v="1"/>
  </r>
  <r>
    <x v="303"/>
    <x v="1"/>
    <x v="1"/>
    <x v="3"/>
    <n v="4997.07"/>
    <n v="6"/>
    <n v="29982.42"/>
    <x v="213"/>
    <x v="1"/>
  </r>
  <r>
    <x v="304"/>
    <x v="0"/>
    <x v="0"/>
    <x v="5"/>
    <n v="5777.65"/>
    <n v="2"/>
    <n v="11555.3"/>
    <x v="162"/>
    <x v="1"/>
  </r>
  <r>
    <x v="305"/>
    <x v="1"/>
    <x v="1"/>
    <x v="4"/>
    <n v="1233.07"/>
    <n v="2"/>
    <n v="2466.14"/>
    <x v="85"/>
    <x v="1"/>
  </r>
  <r>
    <x v="306"/>
    <x v="5"/>
    <x v="5"/>
    <x v="2"/>
    <n v="4032.39"/>
    <n v="2"/>
    <n v="8064.78"/>
    <x v="52"/>
    <x v="2"/>
  </r>
  <r>
    <x v="307"/>
    <x v="2"/>
    <x v="2"/>
    <x v="2"/>
    <n v="2249.58"/>
    <n v="2"/>
    <n v="4499.16"/>
    <x v="18"/>
    <x v="1"/>
  </r>
  <r>
    <x v="308"/>
    <x v="5"/>
    <x v="5"/>
    <x v="0"/>
    <n v="45291.72"/>
    <n v="3"/>
    <n v="135875.16"/>
    <x v="214"/>
    <x v="2"/>
  </r>
  <r>
    <x v="309"/>
    <x v="3"/>
    <x v="3"/>
    <x v="4"/>
    <n v="1709.82"/>
    <n v="3"/>
    <n v="5129.46"/>
    <x v="68"/>
    <x v="0"/>
  </r>
  <r>
    <x v="310"/>
    <x v="1"/>
    <x v="1"/>
    <x v="3"/>
    <n v="4670.2700000000004"/>
    <n v="1"/>
    <n v="4670.2700000000004"/>
    <x v="136"/>
    <x v="0"/>
  </r>
  <r>
    <x v="311"/>
    <x v="1"/>
    <x v="1"/>
    <x v="4"/>
    <n v="18757.060000000001"/>
    <n v="1"/>
    <n v="18757.060000000001"/>
    <x v="156"/>
    <x v="3"/>
  </r>
  <r>
    <x v="312"/>
    <x v="5"/>
    <x v="5"/>
    <x v="1"/>
    <n v="6688.83"/>
    <n v="3"/>
    <n v="20066.490000000002"/>
    <x v="215"/>
    <x v="1"/>
  </r>
  <r>
    <x v="313"/>
    <x v="5"/>
    <x v="5"/>
    <x v="0"/>
    <n v="46554.61"/>
    <n v="3"/>
    <n v="139663.82999999999"/>
    <x v="216"/>
    <x v="3"/>
  </r>
  <r>
    <x v="314"/>
    <x v="5"/>
    <x v="5"/>
    <x v="0"/>
    <n v="22458.560000000001"/>
    <n v="1"/>
    <n v="22458.560000000001"/>
    <x v="217"/>
    <x v="1"/>
  </r>
  <r>
    <x v="315"/>
    <x v="5"/>
    <x v="5"/>
    <x v="2"/>
    <n v="4134.6499999999996"/>
    <n v="1"/>
    <n v="4134.6499999999996"/>
    <x v="184"/>
    <x v="3"/>
  </r>
  <r>
    <x v="316"/>
    <x v="5"/>
    <x v="5"/>
    <x v="1"/>
    <n v="8928.2900000000009"/>
    <n v="4"/>
    <n v="35713.160000000003"/>
    <x v="55"/>
    <x v="3"/>
  </r>
  <r>
    <x v="317"/>
    <x v="2"/>
    <x v="2"/>
    <x v="0"/>
    <n v="8352.52"/>
    <n v="2"/>
    <n v="16705.04"/>
    <x v="218"/>
    <x v="0"/>
  </r>
  <r>
    <x v="318"/>
    <x v="5"/>
    <x v="5"/>
    <x v="5"/>
    <n v="775.91"/>
    <n v="2"/>
    <n v="1551.82"/>
    <x v="219"/>
    <x v="1"/>
  </r>
  <r>
    <x v="319"/>
    <x v="4"/>
    <x v="4"/>
    <x v="5"/>
    <n v="2558.66"/>
    <n v="2"/>
    <n v="5117.32"/>
    <x v="94"/>
    <x v="0"/>
  </r>
  <r>
    <x v="320"/>
    <x v="4"/>
    <x v="4"/>
    <x v="1"/>
    <n v="445.85"/>
    <n v="4"/>
    <n v="1783.4"/>
    <x v="220"/>
    <x v="3"/>
  </r>
  <r>
    <x v="321"/>
    <x v="1"/>
    <x v="1"/>
    <x v="1"/>
    <n v="5378.22"/>
    <n v="3"/>
    <n v="16134.66"/>
    <x v="221"/>
    <x v="3"/>
  </r>
  <r>
    <x v="322"/>
    <x v="5"/>
    <x v="5"/>
    <x v="0"/>
    <n v="53309.919999999998"/>
    <n v="2"/>
    <n v="106619.84"/>
    <x v="129"/>
    <x v="1"/>
  </r>
  <r>
    <x v="323"/>
    <x v="1"/>
    <x v="1"/>
    <x v="5"/>
    <n v="6430.66"/>
    <n v="2"/>
    <n v="12861.32"/>
    <x v="130"/>
    <x v="3"/>
  </r>
  <r>
    <x v="324"/>
    <x v="0"/>
    <x v="0"/>
    <x v="3"/>
    <n v="3041.32"/>
    <n v="6"/>
    <n v="18247.919999999998"/>
    <x v="215"/>
    <x v="3"/>
  </r>
  <r>
    <x v="325"/>
    <x v="2"/>
    <x v="2"/>
    <x v="4"/>
    <n v="16983.419999999998"/>
    <n v="4"/>
    <n v="67933.679999999993"/>
    <x v="162"/>
    <x v="0"/>
  </r>
  <r>
    <x v="326"/>
    <x v="0"/>
    <x v="0"/>
    <x v="3"/>
    <n v="2062.19"/>
    <n v="4"/>
    <n v="8248.76"/>
    <x v="122"/>
    <x v="3"/>
  </r>
  <r>
    <x v="327"/>
    <x v="1"/>
    <x v="1"/>
    <x v="1"/>
    <n v="10230.629999999999"/>
    <n v="2"/>
    <n v="20461.259999999998"/>
    <x v="39"/>
    <x v="3"/>
  </r>
  <r>
    <x v="328"/>
    <x v="2"/>
    <x v="2"/>
    <x v="3"/>
    <n v="2557.04"/>
    <n v="2"/>
    <n v="5114.08"/>
    <x v="124"/>
    <x v="2"/>
  </r>
  <r>
    <x v="329"/>
    <x v="5"/>
    <x v="5"/>
    <x v="0"/>
    <n v="17349.28"/>
    <n v="2"/>
    <n v="34698.559999999998"/>
    <x v="222"/>
    <x v="1"/>
  </r>
  <r>
    <x v="330"/>
    <x v="0"/>
    <x v="0"/>
    <x v="5"/>
    <n v="7558.75"/>
    <n v="1"/>
    <n v="7558.75"/>
    <x v="172"/>
    <x v="2"/>
  </r>
  <r>
    <x v="331"/>
    <x v="3"/>
    <x v="3"/>
    <x v="1"/>
    <n v="3517.16"/>
    <n v="2"/>
    <n v="7034.32"/>
    <x v="46"/>
    <x v="1"/>
  </r>
  <r>
    <x v="332"/>
    <x v="2"/>
    <x v="2"/>
    <x v="1"/>
    <n v="606.55999999999995"/>
    <n v="4"/>
    <n v="2426.2399999999998"/>
    <x v="144"/>
    <x v="0"/>
  </r>
  <r>
    <x v="333"/>
    <x v="0"/>
    <x v="0"/>
    <x v="4"/>
    <n v="5080.68"/>
    <n v="1"/>
    <n v="5080.68"/>
    <x v="176"/>
    <x v="3"/>
  </r>
  <r>
    <x v="334"/>
    <x v="3"/>
    <x v="3"/>
    <x v="4"/>
    <n v="7523.74"/>
    <n v="4"/>
    <n v="30094.959999999999"/>
    <x v="168"/>
    <x v="1"/>
  </r>
  <r>
    <x v="335"/>
    <x v="2"/>
    <x v="2"/>
    <x v="5"/>
    <n v="2875.66"/>
    <n v="3"/>
    <n v="8626.98"/>
    <x v="196"/>
    <x v="2"/>
  </r>
  <r>
    <x v="336"/>
    <x v="3"/>
    <x v="3"/>
    <x v="0"/>
    <n v="39730.33"/>
    <n v="2"/>
    <n v="79460.66"/>
    <x v="223"/>
    <x v="0"/>
  </r>
  <r>
    <x v="337"/>
    <x v="2"/>
    <x v="2"/>
    <x v="2"/>
    <n v="44273.22"/>
    <n v="2"/>
    <n v="88546.44"/>
    <x v="106"/>
    <x v="1"/>
  </r>
  <r>
    <x v="338"/>
    <x v="3"/>
    <x v="3"/>
    <x v="4"/>
    <n v="6059.06"/>
    <n v="3"/>
    <n v="18177.18"/>
    <x v="224"/>
    <x v="2"/>
  </r>
  <r>
    <x v="339"/>
    <x v="4"/>
    <x v="4"/>
    <x v="3"/>
    <n v="2627.81"/>
    <n v="5"/>
    <n v="13139.05"/>
    <x v="190"/>
    <x v="3"/>
  </r>
  <r>
    <x v="340"/>
    <x v="3"/>
    <x v="3"/>
    <x v="0"/>
    <n v="26038.31"/>
    <n v="3"/>
    <n v="78114.929999999993"/>
    <x v="221"/>
    <x v="3"/>
  </r>
  <r>
    <x v="341"/>
    <x v="4"/>
    <x v="4"/>
    <x v="5"/>
    <n v="6592.01"/>
    <n v="5"/>
    <n v="32960.050000000003"/>
    <x v="225"/>
    <x v="3"/>
  </r>
  <r>
    <x v="342"/>
    <x v="0"/>
    <x v="0"/>
    <x v="1"/>
    <n v="2143.94"/>
    <n v="2"/>
    <n v="4287.88"/>
    <x v="181"/>
    <x v="0"/>
  </r>
  <r>
    <x v="343"/>
    <x v="2"/>
    <x v="2"/>
    <x v="1"/>
    <n v="1511.07"/>
    <n v="4"/>
    <n v="6044.28"/>
    <x v="226"/>
    <x v="3"/>
  </r>
  <r>
    <x v="344"/>
    <x v="0"/>
    <x v="0"/>
    <x v="4"/>
    <n v="10209.01"/>
    <n v="2"/>
    <n v="20418.02"/>
    <x v="55"/>
    <x v="0"/>
  </r>
  <r>
    <x v="345"/>
    <x v="0"/>
    <x v="0"/>
    <x v="2"/>
    <n v="33922.49"/>
    <n v="3"/>
    <n v="101767.47"/>
    <x v="151"/>
    <x v="3"/>
  </r>
  <r>
    <x v="346"/>
    <x v="4"/>
    <x v="4"/>
    <x v="1"/>
    <n v="9607.64"/>
    <n v="2"/>
    <n v="19215.28"/>
    <x v="62"/>
    <x v="0"/>
  </r>
  <r>
    <x v="347"/>
    <x v="5"/>
    <x v="5"/>
    <x v="3"/>
    <n v="2968.64"/>
    <n v="3"/>
    <n v="8905.92"/>
    <x v="227"/>
    <x v="0"/>
  </r>
  <r>
    <x v="348"/>
    <x v="2"/>
    <x v="2"/>
    <x v="3"/>
    <n v="3880.56"/>
    <n v="8"/>
    <n v="31044.48"/>
    <x v="114"/>
    <x v="3"/>
  </r>
  <r>
    <x v="349"/>
    <x v="3"/>
    <x v="3"/>
    <x v="0"/>
    <n v="29939.09"/>
    <n v="3"/>
    <n v="89817.27"/>
    <x v="228"/>
    <x v="3"/>
  </r>
  <r>
    <x v="350"/>
    <x v="2"/>
    <x v="2"/>
    <x v="5"/>
    <n v="359.65"/>
    <n v="1"/>
    <n v="359.65"/>
    <x v="135"/>
    <x v="3"/>
  </r>
  <r>
    <x v="351"/>
    <x v="3"/>
    <x v="3"/>
    <x v="5"/>
    <n v="1017.18"/>
    <n v="3"/>
    <n v="3051.54"/>
    <x v="70"/>
    <x v="0"/>
  </r>
  <r>
    <x v="352"/>
    <x v="1"/>
    <x v="1"/>
    <x v="3"/>
    <n v="241.68"/>
    <n v="4"/>
    <n v="966.72"/>
    <x v="114"/>
    <x v="3"/>
  </r>
  <r>
    <x v="353"/>
    <x v="2"/>
    <x v="2"/>
    <x v="3"/>
    <n v="1678.27"/>
    <n v="7"/>
    <n v="11747.89"/>
    <x v="217"/>
    <x v="2"/>
  </r>
  <r>
    <x v="354"/>
    <x v="1"/>
    <x v="1"/>
    <x v="4"/>
    <n v="10061.18"/>
    <n v="3"/>
    <n v="30183.54"/>
    <x v="46"/>
    <x v="1"/>
  </r>
  <r>
    <x v="355"/>
    <x v="1"/>
    <x v="1"/>
    <x v="0"/>
    <n v="27238.76"/>
    <n v="3"/>
    <n v="81716.28"/>
    <x v="154"/>
    <x v="0"/>
  </r>
  <r>
    <x v="356"/>
    <x v="0"/>
    <x v="0"/>
    <x v="1"/>
    <n v="6859.01"/>
    <n v="5"/>
    <n v="34295.050000000003"/>
    <x v="69"/>
    <x v="1"/>
  </r>
  <r>
    <x v="357"/>
    <x v="0"/>
    <x v="0"/>
    <x v="1"/>
    <n v="5923.13"/>
    <n v="4"/>
    <n v="23692.52"/>
    <x v="131"/>
    <x v="1"/>
  </r>
  <r>
    <x v="358"/>
    <x v="1"/>
    <x v="1"/>
    <x v="2"/>
    <n v="34219.199999999997"/>
    <n v="3"/>
    <n v="102657.60000000001"/>
    <x v="6"/>
    <x v="0"/>
  </r>
  <r>
    <x v="359"/>
    <x v="2"/>
    <x v="2"/>
    <x v="0"/>
    <n v="50288.59"/>
    <n v="3"/>
    <n v="150865.76999999999"/>
    <x v="106"/>
    <x v="3"/>
  </r>
  <r>
    <x v="360"/>
    <x v="4"/>
    <x v="4"/>
    <x v="2"/>
    <n v="16585.14"/>
    <n v="1"/>
    <n v="16585.14"/>
    <x v="229"/>
    <x v="0"/>
  </r>
  <r>
    <x v="361"/>
    <x v="3"/>
    <x v="3"/>
    <x v="3"/>
    <n v="1763.76"/>
    <n v="8"/>
    <n v="14110.08"/>
    <x v="230"/>
    <x v="3"/>
  </r>
  <r>
    <x v="362"/>
    <x v="3"/>
    <x v="3"/>
    <x v="2"/>
    <n v="29672.240000000002"/>
    <n v="3"/>
    <n v="89016.72"/>
    <x v="168"/>
    <x v="1"/>
  </r>
  <r>
    <x v="363"/>
    <x v="3"/>
    <x v="3"/>
    <x v="0"/>
    <n v="45055.29"/>
    <n v="1"/>
    <n v="45055.29"/>
    <x v="231"/>
    <x v="0"/>
  </r>
  <r>
    <x v="364"/>
    <x v="2"/>
    <x v="2"/>
    <x v="1"/>
    <n v="3981.99"/>
    <n v="5"/>
    <n v="19909.95"/>
    <x v="196"/>
    <x v="2"/>
  </r>
  <r>
    <x v="365"/>
    <x v="1"/>
    <x v="1"/>
    <x v="1"/>
    <n v="4164.72"/>
    <n v="4"/>
    <n v="16658.88"/>
    <x v="232"/>
    <x v="2"/>
  </r>
  <r>
    <x v="366"/>
    <x v="0"/>
    <x v="0"/>
    <x v="0"/>
    <n v="52298.14"/>
    <n v="2"/>
    <n v="104596.28"/>
    <x v="164"/>
    <x v="3"/>
  </r>
  <r>
    <x v="367"/>
    <x v="2"/>
    <x v="2"/>
    <x v="0"/>
    <n v="48837.88"/>
    <n v="2"/>
    <n v="97675.76"/>
    <x v="233"/>
    <x v="1"/>
  </r>
  <r>
    <x v="368"/>
    <x v="5"/>
    <x v="5"/>
    <x v="0"/>
    <n v="10820.77"/>
    <n v="2"/>
    <n v="21641.54"/>
    <x v="43"/>
    <x v="1"/>
  </r>
  <r>
    <x v="369"/>
    <x v="4"/>
    <x v="4"/>
    <x v="3"/>
    <n v="2233.16"/>
    <n v="10"/>
    <n v="22331.599999999999"/>
    <x v="206"/>
    <x v="2"/>
  </r>
  <r>
    <x v="370"/>
    <x v="0"/>
    <x v="0"/>
    <x v="0"/>
    <n v="67038.789999999994"/>
    <n v="3"/>
    <n v="201116.37"/>
    <x v="160"/>
    <x v="1"/>
  </r>
  <r>
    <x v="371"/>
    <x v="5"/>
    <x v="5"/>
    <x v="4"/>
    <n v="1015.22"/>
    <n v="4"/>
    <n v="4060.88"/>
    <x v="234"/>
    <x v="1"/>
  </r>
  <r>
    <x v="372"/>
    <x v="5"/>
    <x v="5"/>
    <x v="3"/>
    <n v="4283.0600000000004"/>
    <n v="7"/>
    <n v="29981.42"/>
    <x v="100"/>
    <x v="1"/>
  </r>
  <r>
    <x v="373"/>
    <x v="5"/>
    <x v="5"/>
    <x v="5"/>
    <n v="1389.11"/>
    <n v="1"/>
    <n v="1389.11"/>
    <x v="177"/>
    <x v="3"/>
  </r>
  <r>
    <x v="374"/>
    <x v="3"/>
    <x v="3"/>
    <x v="4"/>
    <n v="10292.799999999999"/>
    <n v="4"/>
    <n v="41171.199999999997"/>
    <x v="227"/>
    <x v="1"/>
  </r>
  <r>
    <x v="375"/>
    <x v="3"/>
    <x v="3"/>
    <x v="0"/>
    <n v="32285.759999999998"/>
    <n v="1"/>
    <n v="32285.759999999998"/>
    <x v="162"/>
    <x v="3"/>
  </r>
  <r>
    <x v="376"/>
    <x v="4"/>
    <x v="4"/>
    <x v="2"/>
    <n v="1496.34"/>
    <n v="1"/>
    <n v="1496.34"/>
    <x v="235"/>
    <x v="0"/>
  </r>
  <r>
    <x v="377"/>
    <x v="1"/>
    <x v="1"/>
    <x v="4"/>
    <n v="18333.32"/>
    <n v="1"/>
    <n v="18333.32"/>
    <x v="62"/>
    <x v="2"/>
  </r>
  <r>
    <x v="378"/>
    <x v="5"/>
    <x v="5"/>
    <x v="2"/>
    <n v="23291.34"/>
    <n v="3"/>
    <n v="69874.02"/>
    <x v="43"/>
    <x v="3"/>
  </r>
  <r>
    <x v="379"/>
    <x v="2"/>
    <x v="2"/>
    <x v="1"/>
    <n v="11464.94"/>
    <n v="3"/>
    <n v="34394.82"/>
    <x v="236"/>
    <x v="2"/>
  </r>
  <r>
    <x v="380"/>
    <x v="1"/>
    <x v="1"/>
    <x v="1"/>
    <n v="3654.9"/>
    <n v="2"/>
    <n v="7309.8"/>
    <x v="237"/>
    <x v="0"/>
  </r>
  <r>
    <x v="381"/>
    <x v="4"/>
    <x v="4"/>
    <x v="0"/>
    <n v="65077.66"/>
    <n v="1"/>
    <n v="65077.66"/>
    <x v="91"/>
    <x v="3"/>
  </r>
  <r>
    <x v="382"/>
    <x v="0"/>
    <x v="0"/>
    <x v="1"/>
    <n v="11091.96"/>
    <n v="3"/>
    <n v="33275.879999999997"/>
    <x v="150"/>
    <x v="3"/>
  </r>
  <r>
    <x v="383"/>
    <x v="1"/>
    <x v="1"/>
    <x v="4"/>
    <n v="11269.6"/>
    <n v="3"/>
    <n v="33808.800000000003"/>
    <x v="37"/>
    <x v="3"/>
  </r>
  <r>
    <x v="384"/>
    <x v="5"/>
    <x v="5"/>
    <x v="4"/>
    <n v="4292.75"/>
    <n v="4"/>
    <n v="17171"/>
    <x v="142"/>
    <x v="3"/>
  </r>
  <r>
    <x v="385"/>
    <x v="4"/>
    <x v="4"/>
    <x v="0"/>
    <n v="51645.36"/>
    <n v="2"/>
    <n v="103290.72"/>
    <x v="236"/>
    <x v="0"/>
  </r>
  <r>
    <x v="386"/>
    <x v="2"/>
    <x v="2"/>
    <x v="2"/>
    <n v="27899.93"/>
    <n v="2"/>
    <n v="55799.86"/>
    <x v="238"/>
    <x v="0"/>
  </r>
  <r>
    <x v="387"/>
    <x v="4"/>
    <x v="4"/>
    <x v="3"/>
    <n v="4725.42"/>
    <n v="9"/>
    <n v="42528.78"/>
    <x v="195"/>
    <x v="3"/>
  </r>
  <r>
    <x v="388"/>
    <x v="3"/>
    <x v="3"/>
    <x v="4"/>
    <n v="8953.66"/>
    <n v="4"/>
    <n v="35814.639999999999"/>
    <x v="239"/>
    <x v="0"/>
  </r>
  <r>
    <x v="389"/>
    <x v="0"/>
    <x v="0"/>
    <x v="0"/>
    <n v="20723.71"/>
    <n v="1"/>
    <n v="20723.71"/>
    <x v="11"/>
    <x v="3"/>
  </r>
  <r>
    <x v="390"/>
    <x v="2"/>
    <x v="2"/>
    <x v="4"/>
    <n v="3024.25"/>
    <n v="4"/>
    <n v="12097"/>
    <x v="240"/>
    <x v="2"/>
  </r>
  <r>
    <x v="391"/>
    <x v="3"/>
    <x v="3"/>
    <x v="5"/>
    <n v="5619.21"/>
    <n v="3"/>
    <n v="16857.63"/>
    <x v="241"/>
    <x v="0"/>
  </r>
  <r>
    <x v="392"/>
    <x v="2"/>
    <x v="2"/>
    <x v="0"/>
    <n v="73078.929999999993"/>
    <n v="3"/>
    <n v="219236.79"/>
    <x v="235"/>
    <x v="1"/>
  </r>
  <r>
    <x v="393"/>
    <x v="2"/>
    <x v="2"/>
    <x v="0"/>
    <n v="2903.11"/>
    <n v="1"/>
    <n v="2903.11"/>
    <x v="242"/>
    <x v="3"/>
  </r>
  <r>
    <x v="394"/>
    <x v="3"/>
    <x v="3"/>
    <x v="5"/>
    <n v="5949.52"/>
    <n v="1"/>
    <n v="5949.52"/>
    <x v="243"/>
    <x v="2"/>
  </r>
  <r>
    <x v="395"/>
    <x v="1"/>
    <x v="1"/>
    <x v="0"/>
    <n v="69578.23"/>
    <n v="3"/>
    <n v="208734.69"/>
    <x v="186"/>
    <x v="0"/>
  </r>
  <r>
    <x v="396"/>
    <x v="0"/>
    <x v="0"/>
    <x v="1"/>
    <n v="1174.94"/>
    <n v="4"/>
    <n v="4699.76"/>
    <x v="244"/>
    <x v="3"/>
  </r>
  <r>
    <x v="397"/>
    <x v="5"/>
    <x v="5"/>
    <x v="4"/>
    <n v="2470.35"/>
    <n v="1"/>
    <n v="2470.35"/>
    <x v="80"/>
    <x v="3"/>
  </r>
  <r>
    <x v="398"/>
    <x v="1"/>
    <x v="1"/>
    <x v="1"/>
    <n v="8395.9"/>
    <n v="5"/>
    <n v="41979.5"/>
    <x v="245"/>
    <x v="3"/>
  </r>
  <r>
    <x v="399"/>
    <x v="1"/>
    <x v="1"/>
    <x v="3"/>
    <n v="3257.42"/>
    <n v="2"/>
    <n v="6514.84"/>
    <x v="22"/>
    <x v="2"/>
  </r>
  <r>
    <x v="400"/>
    <x v="5"/>
    <x v="5"/>
    <x v="1"/>
    <n v="1105.28"/>
    <n v="4"/>
    <n v="4421.12"/>
    <x v="186"/>
    <x v="2"/>
  </r>
  <r>
    <x v="401"/>
    <x v="4"/>
    <x v="4"/>
    <x v="0"/>
    <n v="62714.17"/>
    <n v="1"/>
    <n v="62714.17"/>
    <x v="155"/>
    <x v="0"/>
  </r>
  <r>
    <x v="402"/>
    <x v="0"/>
    <x v="0"/>
    <x v="4"/>
    <n v="10611.45"/>
    <n v="1"/>
    <n v="10611.45"/>
    <x v="36"/>
    <x v="0"/>
  </r>
  <r>
    <x v="403"/>
    <x v="3"/>
    <x v="3"/>
    <x v="3"/>
    <n v="4540.63"/>
    <n v="9"/>
    <n v="40865.67"/>
    <x v="0"/>
    <x v="0"/>
  </r>
  <r>
    <x v="404"/>
    <x v="4"/>
    <x v="4"/>
    <x v="0"/>
    <n v="65946.92"/>
    <n v="3"/>
    <n v="197840.76"/>
    <x v="35"/>
    <x v="0"/>
  </r>
  <r>
    <x v="405"/>
    <x v="0"/>
    <x v="0"/>
    <x v="3"/>
    <n v="4071.91"/>
    <n v="2"/>
    <n v="8143.82"/>
    <x v="196"/>
    <x v="3"/>
  </r>
  <r>
    <x v="406"/>
    <x v="5"/>
    <x v="5"/>
    <x v="4"/>
    <n v="10463.209999999999"/>
    <n v="1"/>
    <n v="10463.209999999999"/>
    <x v="24"/>
    <x v="2"/>
  </r>
  <r>
    <x v="407"/>
    <x v="0"/>
    <x v="0"/>
    <x v="0"/>
    <n v="19476.93"/>
    <n v="2"/>
    <n v="38953.86"/>
    <x v="246"/>
    <x v="3"/>
  </r>
  <r>
    <x v="408"/>
    <x v="3"/>
    <x v="3"/>
    <x v="5"/>
    <n v="4097.21"/>
    <n v="1"/>
    <n v="4097.21"/>
    <x v="247"/>
    <x v="1"/>
  </r>
  <r>
    <x v="409"/>
    <x v="4"/>
    <x v="4"/>
    <x v="2"/>
    <n v="5939.76"/>
    <n v="3"/>
    <n v="17819.28"/>
    <x v="154"/>
    <x v="0"/>
  </r>
  <r>
    <x v="410"/>
    <x v="2"/>
    <x v="2"/>
    <x v="5"/>
    <n v="5304.88"/>
    <n v="5"/>
    <n v="26524.400000000001"/>
    <x v="126"/>
    <x v="2"/>
  </r>
  <r>
    <x v="411"/>
    <x v="2"/>
    <x v="2"/>
    <x v="4"/>
    <n v="2939.35"/>
    <n v="4"/>
    <n v="11757.4"/>
    <x v="34"/>
    <x v="0"/>
  </r>
  <r>
    <x v="412"/>
    <x v="3"/>
    <x v="3"/>
    <x v="5"/>
    <n v="4138.2700000000004"/>
    <n v="2"/>
    <n v="8276.5400000000009"/>
    <x v="107"/>
    <x v="1"/>
  </r>
  <r>
    <x v="413"/>
    <x v="4"/>
    <x v="4"/>
    <x v="4"/>
    <n v="1371.32"/>
    <n v="1"/>
    <n v="1371.32"/>
    <x v="120"/>
    <x v="2"/>
  </r>
  <r>
    <x v="414"/>
    <x v="3"/>
    <x v="3"/>
    <x v="0"/>
    <n v="23023.83"/>
    <n v="3"/>
    <n v="69071.490000000005"/>
    <x v="118"/>
    <x v="1"/>
  </r>
  <r>
    <x v="415"/>
    <x v="5"/>
    <x v="5"/>
    <x v="5"/>
    <n v="1933.44"/>
    <n v="1"/>
    <n v="1933.44"/>
    <x v="239"/>
    <x v="3"/>
  </r>
  <r>
    <x v="416"/>
    <x v="3"/>
    <x v="3"/>
    <x v="1"/>
    <n v="7554.37"/>
    <n v="3"/>
    <n v="22663.11"/>
    <x v="248"/>
    <x v="3"/>
  </r>
  <r>
    <x v="417"/>
    <x v="0"/>
    <x v="0"/>
    <x v="1"/>
    <n v="9505.4"/>
    <n v="3"/>
    <n v="28516.2"/>
    <x v="243"/>
    <x v="2"/>
  </r>
  <r>
    <x v="418"/>
    <x v="3"/>
    <x v="3"/>
    <x v="4"/>
    <n v="1428.87"/>
    <n v="3"/>
    <n v="4286.6099999999997"/>
    <x v="140"/>
    <x v="3"/>
  </r>
  <r>
    <x v="419"/>
    <x v="4"/>
    <x v="4"/>
    <x v="4"/>
    <n v="17050.59"/>
    <n v="1"/>
    <n v="17050.59"/>
    <x v="234"/>
    <x v="0"/>
  </r>
  <r>
    <x v="420"/>
    <x v="2"/>
    <x v="2"/>
    <x v="2"/>
    <n v="43177.62"/>
    <n v="3"/>
    <n v="129532.86"/>
    <x v="249"/>
    <x v="3"/>
  </r>
  <r>
    <x v="421"/>
    <x v="3"/>
    <x v="3"/>
    <x v="1"/>
    <n v="4304.55"/>
    <n v="4"/>
    <n v="17218.2"/>
    <x v="12"/>
    <x v="3"/>
  </r>
  <r>
    <x v="422"/>
    <x v="3"/>
    <x v="3"/>
    <x v="1"/>
    <n v="8010.35"/>
    <n v="2"/>
    <n v="16020.7"/>
    <x v="7"/>
    <x v="0"/>
  </r>
  <r>
    <x v="423"/>
    <x v="3"/>
    <x v="3"/>
    <x v="3"/>
    <n v="2042.93"/>
    <n v="4"/>
    <n v="8171.72"/>
    <x v="37"/>
    <x v="3"/>
  </r>
  <r>
    <x v="424"/>
    <x v="2"/>
    <x v="2"/>
    <x v="3"/>
    <n v="813.24"/>
    <n v="1"/>
    <n v="813.24"/>
    <x v="250"/>
    <x v="0"/>
  </r>
  <r>
    <x v="425"/>
    <x v="0"/>
    <x v="0"/>
    <x v="3"/>
    <n v="2666.88"/>
    <n v="5"/>
    <n v="13334.4"/>
    <x v="60"/>
    <x v="0"/>
  </r>
  <r>
    <x v="426"/>
    <x v="5"/>
    <x v="5"/>
    <x v="0"/>
    <n v="7207.89"/>
    <n v="1"/>
    <n v="7207.89"/>
    <x v="124"/>
    <x v="3"/>
  </r>
  <r>
    <x v="427"/>
    <x v="0"/>
    <x v="0"/>
    <x v="0"/>
    <n v="65982.63"/>
    <n v="1"/>
    <n v="65982.63"/>
    <x v="183"/>
    <x v="2"/>
  </r>
  <r>
    <x v="428"/>
    <x v="3"/>
    <x v="3"/>
    <x v="5"/>
    <n v="7401.89"/>
    <n v="3"/>
    <n v="22205.67"/>
    <x v="248"/>
    <x v="2"/>
  </r>
  <r>
    <x v="429"/>
    <x v="0"/>
    <x v="0"/>
    <x v="1"/>
    <n v="9912.8700000000008"/>
    <n v="3"/>
    <n v="29738.61"/>
    <x v="251"/>
    <x v="0"/>
  </r>
  <r>
    <x v="430"/>
    <x v="4"/>
    <x v="4"/>
    <x v="4"/>
    <n v="11381.8"/>
    <n v="1"/>
    <n v="11381.8"/>
    <x v="252"/>
    <x v="0"/>
  </r>
  <r>
    <x v="431"/>
    <x v="0"/>
    <x v="0"/>
    <x v="2"/>
    <n v="28322.33"/>
    <n v="1"/>
    <n v="28322.33"/>
    <x v="209"/>
    <x v="0"/>
  </r>
  <r>
    <x v="432"/>
    <x v="2"/>
    <x v="2"/>
    <x v="0"/>
    <n v="73857.87"/>
    <n v="1"/>
    <n v="73857.87"/>
    <x v="45"/>
    <x v="2"/>
  </r>
  <r>
    <x v="433"/>
    <x v="0"/>
    <x v="0"/>
    <x v="0"/>
    <n v="19194.310000000001"/>
    <n v="3"/>
    <n v="57582.93"/>
    <x v="92"/>
    <x v="1"/>
  </r>
  <r>
    <x v="434"/>
    <x v="3"/>
    <x v="3"/>
    <x v="0"/>
    <n v="6435.37"/>
    <n v="2"/>
    <n v="12870.74"/>
    <x v="235"/>
    <x v="2"/>
  </r>
  <r>
    <x v="435"/>
    <x v="3"/>
    <x v="3"/>
    <x v="4"/>
    <n v="11370.24"/>
    <n v="1"/>
    <n v="11370.24"/>
    <x v="27"/>
    <x v="0"/>
  </r>
  <r>
    <x v="436"/>
    <x v="3"/>
    <x v="3"/>
    <x v="0"/>
    <n v="25195.89"/>
    <n v="1"/>
    <n v="25195.89"/>
    <x v="253"/>
    <x v="2"/>
  </r>
  <r>
    <x v="437"/>
    <x v="1"/>
    <x v="1"/>
    <x v="1"/>
    <n v="4071.36"/>
    <n v="5"/>
    <n v="20356.8"/>
    <x v="141"/>
    <x v="2"/>
  </r>
  <r>
    <x v="438"/>
    <x v="0"/>
    <x v="0"/>
    <x v="4"/>
    <n v="439.58"/>
    <n v="2"/>
    <n v="879.16"/>
    <x v="234"/>
    <x v="1"/>
  </r>
  <r>
    <x v="439"/>
    <x v="2"/>
    <x v="2"/>
    <x v="4"/>
    <n v="12045.92"/>
    <n v="3"/>
    <n v="36137.760000000002"/>
    <x v="254"/>
    <x v="0"/>
  </r>
  <r>
    <x v="440"/>
    <x v="0"/>
    <x v="0"/>
    <x v="3"/>
    <n v="1356.97"/>
    <n v="5"/>
    <n v="6784.85"/>
    <x v="68"/>
    <x v="0"/>
  </r>
  <r>
    <x v="441"/>
    <x v="3"/>
    <x v="3"/>
    <x v="0"/>
    <n v="14739.1"/>
    <n v="1"/>
    <n v="14739.1"/>
    <x v="181"/>
    <x v="3"/>
  </r>
  <r>
    <x v="442"/>
    <x v="0"/>
    <x v="0"/>
    <x v="0"/>
    <n v="3800.05"/>
    <n v="1"/>
    <n v="3800.05"/>
    <x v="15"/>
    <x v="3"/>
  </r>
  <r>
    <x v="443"/>
    <x v="3"/>
    <x v="3"/>
    <x v="0"/>
    <n v="27835.63"/>
    <n v="1"/>
    <n v="27835.63"/>
    <x v="40"/>
    <x v="2"/>
  </r>
  <r>
    <x v="444"/>
    <x v="5"/>
    <x v="5"/>
    <x v="0"/>
    <n v="66019.490000000005"/>
    <n v="3"/>
    <n v="198058.47"/>
    <x v="95"/>
    <x v="1"/>
  </r>
  <r>
    <x v="445"/>
    <x v="2"/>
    <x v="2"/>
    <x v="1"/>
    <n v="4239.05"/>
    <n v="2"/>
    <n v="8478.1"/>
    <x v="255"/>
    <x v="2"/>
  </r>
  <r>
    <x v="446"/>
    <x v="4"/>
    <x v="4"/>
    <x v="4"/>
    <n v="13677.76"/>
    <n v="2"/>
    <n v="27355.52"/>
    <x v="51"/>
    <x v="3"/>
  </r>
  <r>
    <x v="447"/>
    <x v="2"/>
    <x v="2"/>
    <x v="1"/>
    <n v="9151.6"/>
    <n v="1"/>
    <n v="9151.6"/>
    <x v="60"/>
    <x v="1"/>
  </r>
  <r>
    <x v="448"/>
    <x v="3"/>
    <x v="3"/>
    <x v="2"/>
    <n v="17076.939999999999"/>
    <n v="3"/>
    <n v="51230.82"/>
    <x v="43"/>
    <x v="2"/>
  </r>
  <r>
    <x v="449"/>
    <x v="2"/>
    <x v="2"/>
    <x v="0"/>
    <n v="61765.74"/>
    <n v="1"/>
    <n v="61765.74"/>
    <x v="88"/>
    <x v="2"/>
  </r>
  <r>
    <x v="450"/>
    <x v="3"/>
    <x v="3"/>
    <x v="5"/>
    <n v="5565.85"/>
    <n v="3"/>
    <n v="16697.55"/>
    <x v="97"/>
    <x v="2"/>
  </r>
  <r>
    <x v="451"/>
    <x v="4"/>
    <x v="4"/>
    <x v="2"/>
    <n v="28402.87"/>
    <n v="3"/>
    <n v="85208.61"/>
    <x v="256"/>
    <x v="0"/>
  </r>
  <r>
    <x v="452"/>
    <x v="2"/>
    <x v="2"/>
    <x v="5"/>
    <n v="107.84"/>
    <n v="4"/>
    <n v="431.36"/>
    <x v="257"/>
    <x v="2"/>
  </r>
  <r>
    <x v="453"/>
    <x v="3"/>
    <x v="3"/>
    <x v="4"/>
    <n v="991.29"/>
    <n v="3"/>
    <n v="2973.87"/>
    <x v="258"/>
    <x v="0"/>
  </r>
  <r>
    <x v="454"/>
    <x v="3"/>
    <x v="3"/>
    <x v="3"/>
    <n v="4954.79"/>
    <n v="9"/>
    <n v="44593.11"/>
    <x v="93"/>
    <x v="2"/>
  </r>
  <r>
    <x v="455"/>
    <x v="3"/>
    <x v="3"/>
    <x v="0"/>
    <n v="58845.47"/>
    <n v="1"/>
    <n v="58845.47"/>
    <x v="247"/>
    <x v="2"/>
  </r>
  <r>
    <x v="456"/>
    <x v="4"/>
    <x v="4"/>
    <x v="3"/>
    <n v="4690.95"/>
    <n v="10"/>
    <n v="46909.5"/>
    <x v="253"/>
    <x v="2"/>
  </r>
  <r>
    <x v="457"/>
    <x v="1"/>
    <x v="1"/>
    <x v="1"/>
    <n v="10856.95"/>
    <n v="3"/>
    <n v="32570.85"/>
    <x v="259"/>
    <x v="3"/>
  </r>
  <r>
    <x v="458"/>
    <x v="0"/>
    <x v="0"/>
    <x v="4"/>
    <n v="702.73"/>
    <n v="2"/>
    <n v="1405.46"/>
    <x v="43"/>
    <x v="3"/>
  </r>
  <r>
    <x v="459"/>
    <x v="2"/>
    <x v="2"/>
    <x v="3"/>
    <n v="3969.64"/>
    <n v="3"/>
    <n v="11908.92"/>
    <x v="46"/>
    <x v="2"/>
  </r>
  <r>
    <x v="460"/>
    <x v="2"/>
    <x v="2"/>
    <x v="5"/>
    <n v="3664.05"/>
    <n v="4"/>
    <n v="14656.2"/>
    <x v="108"/>
    <x v="0"/>
  </r>
  <r>
    <x v="461"/>
    <x v="3"/>
    <x v="3"/>
    <x v="1"/>
    <n v="9537.83"/>
    <n v="5"/>
    <n v="47689.15"/>
    <x v="59"/>
    <x v="2"/>
  </r>
  <r>
    <x v="462"/>
    <x v="4"/>
    <x v="4"/>
    <x v="0"/>
    <n v="1298.31"/>
    <n v="3"/>
    <n v="3894.93"/>
    <x v="153"/>
    <x v="3"/>
  </r>
  <r>
    <x v="463"/>
    <x v="5"/>
    <x v="5"/>
    <x v="3"/>
    <n v="1476.59"/>
    <n v="1"/>
    <n v="1476.59"/>
    <x v="130"/>
    <x v="2"/>
  </r>
  <r>
    <x v="464"/>
    <x v="2"/>
    <x v="2"/>
    <x v="2"/>
    <n v="37814.870000000003"/>
    <n v="2"/>
    <n v="75629.740000000005"/>
    <x v="18"/>
    <x v="3"/>
  </r>
  <r>
    <x v="465"/>
    <x v="2"/>
    <x v="2"/>
    <x v="2"/>
    <n v="39858.019999999997"/>
    <n v="3"/>
    <n v="119574.06"/>
    <x v="92"/>
    <x v="0"/>
  </r>
  <r>
    <x v="466"/>
    <x v="2"/>
    <x v="2"/>
    <x v="1"/>
    <n v="7550.66"/>
    <n v="2"/>
    <n v="15101.32"/>
    <x v="260"/>
    <x v="0"/>
  </r>
  <r>
    <x v="467"/>
    <x v="4"/>
    <x v="4"/>
    <x v="3"/>
    <n v="1541.22"/>
    <n v="8"/>
    <n v="12329.76"/>
    <x v="244"/>
    <x v="2"/>
  </r>
  <r>
    <x v="468"/>
    <x v="3"/>
    <x v="3"/>
    <x v="2"/>
    <n v="16207.77"/>
    <n v="3"/>
    <n v="48623.31"/>
    <x v="146"/>
    <x v="2"/>
  </r>
  <r>
    <x v="469"/>
    <x v="1"/>
    <x v="1"/>
    <x v="0"/>
    <n v="72533.89"/>
    <n v="1"/>
    <n v="72533.89"/>
    <x v="261"/>
    <x v="1"/>
  </r>
  <r>
    <x v="470"/>
    <x v="1"/>
    <x v="1"/>
    <x v="4"/>
    <n v="8952.48"/>
    <n v="3"/>
    <n v="26857.439999999999"/>
    <x v="262"/>
    <x v="1"/>
  </r>
  <r>
    <x v="471"/>
    <x v="1"/>
    <x v="1"/>
    <x v="0"/>
    <n v="33976.720000000001"/>
    <n v="1"/>
    <n v="33976.720000000001"/>
    <x v="95"/>
    <x v="0"/>
  </r>
  <r>
    <x v="472"/>
    <x v="3"/>
    <x v="3"/>
    <x v="0"/>
    <n v="41783.089999999997"/>
    <n v="2"/>
    <n v="83566.179999999993"/>
    <x v="112"/>
    <x v="0"/>
  </r>
  <r>
    <x v="473"/>
    <x v="3"/>
    <x v="3"/>
    <x v="1"/>
    <n v="5091.18"/>
    <n v="2"/>
    <n v="10182.36"/>
    <x v="52"/>
    <x v="1"/>
  </r>
  <r>
    <x v="474"/>
    <x v="5"/>
    <x v="5"/>
    <x v="1"/>
    <n v="6766.26"/>
    <n v="5"/>
    <n v="33831.300000000003"/>
    <x v="15"/>
    <x v="1"/>
  </r>
  <r>
    <x v="475"/>
    <x v="5"/>
    <x v="5"/>
    <x v="1"/>
    <n v="5358.32"/>
    <n v="5"/>
    <n v="26791.599999999999"/>
    <x v="263"/>
    <x v="3"/>
  </r>
  <r>
    <x v="476"/>
    <x v="1"/>
    <x v="1"/>
    <x v="1"/>
    <n v="9972.56"/>
    <n v="3"/>
    <n v="29917.68"/>
    <x v="234"/>
    <x v="3"/>
  </r>
  <r>
    <x v="477"/>
    <x v="2"/>
    <x v="2"/>
    <x v="4"/>
    <n v="18208.310000000001"/>
    <n v="3"/>
    <n v="54624.93"/>
    <x v="9"/>
    <x v="3"/>
  </r>
  <r>
    <x v="478"/>
    <x v="2"/>
    <x v="2"/>
    <x v="1"/>
    <n v="11205.69"/>
    <n v="4"/>
    <n v="44822.76"/>
    <x v="264"/>
    <x v="1"/>
  </r>
  <r>
    <x v="479"/>
    <x v="1"/>
    <x v="1"/>
    <x v="1"/>
    <n v="6902.27"/>
    <n v="4"/>
    <n v="27609.08"/>
    <x v="260"/>
    <x v="0"/>
  </r>
  <r>
    <x v="480"/>
    <x v="1"/>
    <x v="1"/>
    <x v="1"/>
    <n v="5473.14"/>
    <n v="4"/>
    <n v="21892.560000000001"/>
    <x v="21"/>
    <x v="1"/>
  </r>
  <r>
    <x v="481"/>
    <x v="3"/>
    <x v="3"/>
    <x v="0"/>
    <n v="53128.81"/>
    <n v="3"/>
    <n v="159386.43"/>
    <x v="265"/>
    <x v="3"/>
  </r>
  <r>
    <x v="482"/>
    <x v="2"/>
    <x v="2"/>
    <x v="2"/>
    <n v="42077.86"/>
    <n v="3"/>
    <n v="126233.58"/>
    <x v="1"/>
    <x v="3"/>
  </r>
  <r>
    <x v="483"/>
    <x v="5"/>
    <x v="5"/>
    <x v="3"/>
    <n v="2836.76"/>
    <n v="9"/>
    <n v="25530.84"/>
    <x v="266"/>
    <x v="1"/>
  </r>
  <r>
    <x v="484"/>
    <x v="3"/>
    <x v="3"/>
    <x v="2"/>
    <n v="35299.07"/>
    <n v="1"/>
    <n v="35299.07"/>
    <x v="3"/>
    <x v="0"/>
  </r>
  <r>
    <x v="485"/>
    <x v="1"/>
    <x v="1"/>
    <x v="0"/>
    <n v="56429.919999999998"/>
    <n v="2"/>
    <n v="112859.84"/>
    <x v="267"/>
    <x v="1"/>
  </r>
  <r>
    <x v="486"/>
    <x v="1"/>
    <x v="1"/>
    <x v="4"/>
    <n v="13624.96"/>
    <n v="2"/>
    <n v="27249.919999999998"/>
    <x v="72"/>
    <x v="0"/>
  </r>
  <r>
    <x v="487"/>
    <x v="5"/>
    <x v="5"/>
    <x v="1"/>
    <n v="9029.76"/>
    <n v="3"/>
    <n v="27089.279999999999"/>
    <x v="177"/>
    <x v="0"/>
  </r>
  <r>
    <x v="488"/>
    <x v="2"/>
    <x v="2"/>
    <x v="4"/>
    <n v="4410.3100000000004"/>
    <n v="3"/>
    <n v="13230.93"/>
    <x v="56"/>
    <x v="3"/>
  </r>
  <r>
    <x v="489"/>
    <x v="1"/>
    <x v="1"/>
    <x v="1"/>
    <n v="6130.98"/>
    <n v="4"/>
    <n v="24523.919999999998"/>
    <x v="140"/>
    <x v="2"/>
  </r>
  <r>
    <x v="490"/>
    <x v="2"/>
    <x v="2"/>
    <x v="0"/>
    <n v="44449.53"/>
    <n v="2"/>
    <n v="88899.06"/>
    <x v="266"/>
    <x v="0"/>
  </r>
  <r>
    <x v="491"/>
    <x v="2"/>
    <x v="2"/>
    <x v="5"/>
    <n v="119.58"/>
    <n v="2"/>
    <n v="239.16"/>
    <x v="114"/>
    <x v="1"/>
  </r>
  <r>
    <x v="492"/>
    <x v="2"/>
    <x v="2"/>
    <x v="2"/>
    <n v="42942.16"/>
    <n v="2"/>
    <n v="85884.32"/>
    <x v="80"/>
    <x v="3"/>
  </r>
  <r>
    <x v="493"/>
    <x v="5"/>
    <x v="5"/>
    <x v="5"/>
    <n v="4919.1899999999996"/>
    <n v="5"/>
    <n v="24595.95"/>
    <x v="268"/>
    <x v="0"/>
  </r>
  <r>
    <x v="494"/>
    <x v="0"/>
    <x v="0"/>
    <x v="1"/>
    <n v="1810.9"/>
    <n v="2"/>
    <n v="3621.8"/>
    <x v="178"/>
    <x v="0"/>
  </r>
  <r>
    <x v="495"/>
    <x v="1"/>
    <x v="1"/>
    <x v="2"/>
    <n v="41001.5"/>
    <n v="1"/>
    <n v="41001.5"/>
    <x v="5"/>
    <x v="2"/>
  </r>
  <r>
    <x v="496"/>
    <x v="1"/>
    <x v="1"/>
    <x v="5"/>
    <n v="5764.75"/>
    <n v="5"/>
    <n v="28823.75"/>
    <x v="99"/>
    <x v="2"/>
  </r>
  <r>
    <x v="497"/>
    <x v="2"/>
    <x v="2"/>
    <x v="2"/>
    <n v="38156.68"/>
    <n v="1"/>
    <n v="38156.68"/>
    <x v="156"/>
    <x v="3"/>
  </r>
  <r>
    <x v="498"/>
    <x v="5"/>
    <x v="5"/>
    <x v="3"/>
    <n v="1990.61"/>
    <n v="7"/>
    <n v="13934.27"/>
    <x v="208"/>
    <x v="0"/>
  </r>
  <r>
    <x v="499"/>
    <x v="1"/>
    <x v="1"/>
    <x v="2"/>
    <n v="42855.92"/>
    <n v="3"/>
    <n v="128567.76"/>
    <x v="217"/>
    <x v="1"/>
  </r>
  <r>
    <x v="500"/>
    <x v="0"/>
    <x v="0"/>
    <x v="2"/>
    <n v="21287.35"/>
    <n v="1"/>
    <n v="21287.35"/>
    <x v="208"/>
    <x v="3"/>
  </r>
  <r>
    <x v="501"/>
    <x v="4"/>
    <x v="4"/>
    <x v="4"/>
    <n v="11539.03"/>
    <n v="2"/>
    <n v="23078.06"/>
    <x v="187"/>
    <x v="2"/>
  </r>
  <r>
    <x v="502"/>
    <x v="4"/>
    <x v="4"/>
    <x v="3"/>
    <n v="53.18"/>
    <n v="3"/>
    <n v="159.54"/>
    <x v="269"/>
    <x v="0"/>
  </r>
  <r>
    <x v="503"/>
    <x v="1"/>
    <x v="1"/>
    <x v="1"/>
    <n v="7845.02"/>
    <n v="1"/>
    <n v="7845.02"/>
    <x v="270"/>
    <x v="0"/>
  </r>
  <r>
    <x v="504"/>
    <x v="1"/>
    <x v="1"/>
    <x v="5"/>
    <n v="5773.59"/>
    <n v="1"/>
    <n v="5773.59"/>
    <x v="74"/>
    <x v="3"/>
  </r>
  <r>
    <x v="505"/>
    <x v="0"/>
    <x v="0"/>
    <x v="1"/>
    <n v="6935.18"/>
    <n v="1"/>
    <n v="6935.18"/>
    <x v="123"/>
    <x v="3"/>
  </r>
  <r>
    <x v="506"/>
    <x v="5"/>
    <x v="5"/>
    <x v="5"/>
    <n v="4022.81"/>
    <n v="3"/>
    <n v="12068.43"/>
    <x v="187"/>
    <x v="0"/>
  </r>
  <r>
    <x v="507"/>
    <x v="0"/>
    <x v="0"/>
    <x v="1"/>
    <n v="9776.26"/>
    <n v="3"/>
    <n v="29328.78"/>
    <x v="271"/>
    <x v="0"/>
  </r>
  <r>
    <x v="508"/>
    <x v="1"/>
    <x v="1"/>
    <x v="0"/>
    <n v="51357.86"/>
    <n v="1"/>
    <n v="51357.86"/>
    <x v="272"/>
    <x v="2"/>
  </r>
  <r>
    <x v="509"/>
    <x v="3"/>
    <x v="3"/>
    <x v="5"/>
    <n v="2296.7800000000002"/>
    <n v="5"/>
    <n v="11483.9"/>
    <x v="273"/>
    <x v="2"/>
  </r>
  <r>
    <x v="510"/>
    <x v="3"/>
    <x v="3"/>
    <x v="0"/>
    <n v="71963.240000000005"/>
    <n v="3"/>
    <n v="215889.72"/>
    <x v="113"/>
    <x v="1"/>
  </r>
  <r>
    <x v="511"/>
    <x v="0"/>
    <x v="0"/>
    <x v="0"/>
    <n v="53279.23"/>
    <n v="1"/>
    <n v="53279.23"/>
    <x v="40"/>
    <x v="1"/>
  </r>
  <r>
    <x v="512"/>
    <x v="3"/>
    <x v="3"/>
    <x v="2"/>
    <n v="49409.01"/>
    <n v="3"/>
    <n v="148227.03"/>
    <x v="89"/>
    <x v="3"/>
  </r>
  <r>
    <x v="513"/>
    <x v="5"/>
    <x v="5"/>
    <x v="5"/>
    <n v="7772.96"/>
    <n v="1"/>
    <n v="7772.96"/>
    <x v="41"/>
    <x v="3"/>
  </r>
  <r>
    <x v="514"/>
    <x v="5"/>
    <x v="5"/>
    <x v="4"/>
    <n v="18402.52"/>
    <n v="3"/>
    <n v="55207.56"/>
    <x v="274"/>
    <x v="3"/>
  </r>
  <r>
    <x v="515"/>
    <x v="3"/>
    <x v="3"/>
    <x v="3"/>
    <n v="3789.09"/>
    <n v="5"/>
    <n v="18945.45"/>
    <x v="75"/>
    <x v="0"/>
  </r>
  <r>
    <x v="516"/>
    <x v="5"/>
    <x v="5"/>
    <x v="0"/>
    <n v="46019.66"/>
    <n v="2"/>
    <n v="92039.32"/>
    <x v="153"/>
    <x v="3"/>
  </r>
  <r>
    <x v="517"/>
    <x v="0"/>
    <x v="0"/>
    <x v="4"/>
    <n v="3691.76"/>
    <n v="4"/>
    <n v="14767.04"/>
    <x v="252"/>
    <x v="3"/>
  </r>
  <r>
    <x v="518"/>
    <x v="3"/>
    <x v="3"/>
    <x v="0"/>
    <n v="41116.68"/>
    <n v="3"/>
    <n v="123350.04"/>
    <x v="130"/>
    <x v="2"/>
  </r>
  <r>
    <x v="519"/>
    <x v="0"/>
    <x v="0"/>
    <x v="0"/>
    <n v="57590.94"/>
    <n v="1"/>
    <n v="57590.94"/>
    <x v="275"/>
    <x v="3"/>
  </r>
  <r>
    <x v="520"/>
    <x v="0"/>
    <x v="0"/>
    <x v="3"/>
    <n v="2628.24"/>
    <n v="6"/>
    <n v="15769.44"/>
    <x v="19"/>
    <x v="3"/>
  </r>
  <r>
    <x v="521"/>
    <x v="5"/>
    <x v="5"/>
    <x v="1"/>
    <n v="10458.4"/>
    <n v="5"/>
    <n v="52292"/>
    <x v="64"/>
    <x v="2"/>
  </r>
  <r>
    <x v="522"/>
    <x v="3"/>
    <x v="3"/>
    <x v="4"/>
    <n v="2460.2199999999998"/>
    <n v="3"/>
    <n v="7380.66"/>
    <x v="96"/>
    <x v="1"/>
  </r>
  <r>
    <x v="523"/>
    <x v="2"/>
    <x v="2"/>
    <x v="5"/>
    <n v="3109.43"/>
    <n v="5"/>
    <n v="15547.15"/>
    <x v="64"/>
    <x v="2"/>
  </r>
  <r>
    <x v="524"/>
    <x v="3"/>
    <x v="3"/>
    <x v="2"/>
    <n v="25792.26"/>
    <n v="2"/>
    <n v="51584.52"/>
    <x v="63"/>
    <x v="0"/>
  </r>
  <r>
    <x v="525"/>
    <x v="5"/>
    <x v="5"/>
    <x v="0"/>
    <n v="32878.54"/>
    <n v="1"/>
    <n v="32878.54"/>
    <x v="73"/>
    <x v="3"/>
  </r>
  <r>
    <x v="526"/>
    <x v="4"/>
    <x v="4"/>
    <x v="3"/>
    <n v="587.5"/>
    <n v="6"/>
    <n v="3525"/>
    <x v="276"/>
    <x v="0"/>
  </r>
  <r>
    <x v="527"/>
    <x v="4"/>
    <x v="4"/>
    <x v="1"/>
    <n v="2096.2800000000002"/>
    <n v="5"/>
    <n v="10481.4"/>
    <x v="277"/>
    <x v="0"/>
  </r>
  <r>
    <x v="528"/>
    <x v="0"/>
    <x v="0"/>
    <x v="0"/>
    <n v="62951.199999999997"/>
    <n v="3"/>
    <n v="188853.6"/>
    <x v="108"/>
    <x v="0"/>
  </r>
  <r>
    <x v="529"/>
    <x v="5"/>
    <x v="5"/>
    <x v="3"/>
    <n v="2447.6999999999998"/>
    <n v="7"/>
    <n v="17133.900000000001"/>
    <x v="248"/>
    <x v="2"/>
  </r>
  <r>
    <x v="530"/>
    <x v="2"/>
    <x v="2"/>
    <x v="3"/>
    <n v="291.18"/>
    <n v="8"/>
    <n v="2329.44"/>
    <x v="57"/>
    <x v="2"/>
  </r>
  <r>
    <x v="531"/>
    <x v="2"/>
    <x v="2"/>
    <x v="0"/>
    <n v="2023.65"/>
    <n v="2"/>
    <n v="4047.3"/>
    <x v="190"/>
    <x v="2"/>
  </r>
  <r>
    <x v="532"/>
    <x v="5"/>
    <x v="5"/>
    <x v="1"/>
    <n v="5839.66"/>
    <n v="2"/>
    <n v="11679.32"/>
    <x v="278"/>
    <x v="2"/>
  </r>
  <r>
    <x v="533"/>
    <x v="2"/>
    <x v="2"/>
    <x v="2"/>
    <n v="9054.56"/>
    <n v="2"/>
    <n v="18109.12"/>
    <x v="228"/>
    <x v="3"/>
  </r>
  <r>
    <x v="534"/>
    <x v="3"/>
    <x v="3"/>
    <x v="0"/>
    <n v="53120.35"/>
    <n v="2"/>
    <n v="106240.7"/>
    <x v="120"/>
    <x v="0"/>
  </r>
  <r>
    <x v="535"/>
    <x v="3"/>
    <x v="3"/>
    <x v="1"/>
    <n v="9605.2800000000007"/>
    <n v="5"/>
    <n v="48026.400000000001"/>
    <x v="279"/>
    <x v="2"/>
  </r>
  <r>
    <x v="536"/>
    <x v="1"/>
    <x v="1"/>
    <x v="5"/>
    <n v="1903.54"/>
    <n v="3"/>
    <n v="5710.62"/>
    <x v="233"/>
    <x v="0"/>
  </r>
  <r>
    <x v="537"/>
    <x v="3"/>
    <x v="3"/>
    <x v="5"/>
    <n v="4778.2"/>
    <n v="4"/>
    <n v="19112.8"/>
    <x v="158"/>
    <x v="1"/>
  </r>
  <r>
    <x v="538"/>
    <x v="3"/>
    <x v="3"/>
    <x v="5"/>
    <n v="1320.11"/>
    <n v="1"/>
    <n v="1320.11"/>
    <x v="180"/>
    <x v="3"/>
  </r>
  <r>
    <x v="539"/>
    <x v="0"/>
    <x v="0"/>
    <x v="1"/>
    <n v="3851.92"/>
    <n v="4"/>
    <n v="15407.68"/>
    <x v="280"/>
    <x v="1"/>
  </r>
  <r>
    <x v="540"/>
    <x v="4"/>
    <x v="4"/>
    <x v="5"/>
    <n v="7121.48"/>
    <n v="3"/>
    <n v="21364.44"/>
    <x v="231"/>
    <x v="1"/>
  </r>
  <r>
    <x v="541"/>
    <x v="1"/>
    <x v="1"/>
    <x v="3"/>
    <n v="2743.29"/>
    <n v="10"/>
    <n v="27432.9"/>
    <x v="31"/>
    <x v="1"/>
  </r>
  <r>
    <x v="542"/>
    <x v="0"/>
    <x v="0"/>
    <x v="3"/>
    <n v="4435.1499999999996"/>
    <n v="5"/>
    <n v="22175.75"/>
    <x v="247"/>
    <x v="1"/>
  </r>
  <r>
    <x v="543"/>
    <x v="4"/>
    <x v="4"/>
    <x v="0"/>
    <n v="17513.39"/>
    <n v="2"/>
    <n v="35026.78"/>
    <x v="11"/>
    <x v="3"/>
  </r>
  <r>
    <x v="544"/>
    <x v="3"/>
    <x v="3"/>
    <x v="1"/>
    <n v="4161.28"/>
    <n v="1"/>
    <n v="4161.28"/>
    <x v="102"/>
    <x v="2"/>
  </r>
  <r>
    <x v="545"/>
    <x v="1"/>
    <x v="1"/>
    <x v="3"/>
    <n v="2381.21"/>
    <n v="9"/>
    <n v="21430.89"/>
    <x v="237"/>
    <x v="1"/>
  </r>
  <r>
    <x v="546"/>
    <x v="5"/>
    <x v="5"/>
    <x v="3"/>
    <n v="2426.4"/>
    <n v="8"/>
    <n v="19411.2"/>
    <x v="1"/>
    <x v="0"/>
  </r>
  <r>
    <x v="547"/>
    <x v="3"/>
    <x v="3"/>
    <x v="5"/>
    <n v="7981.42"/>
    <n v="5"/>
    <n v="39907.1"/>
    <x v="181"/>
    <x v="3"/>
  </r>
  <r>
    <x v="548"/>
    <x v="0"/>
    <x v="0"/>
    <x v="3"/>
    <n v="616.5"/>
    <n v="1"/>
    <n v="616.5"/>
    <x v="281"/>
    <x v="1"/>
  </r>
  <r>
    <x v="549"/>
    <x v="1"/>
    <x v="1"/>
    <x v="3"/>
    <n v="4267.2299999999996"/>
    <n v="3"/>
    <n v="12801.69"/>
    <x v="8"/>
    <x v="3"/>
  </r>
  <r>
    <x v="550"/>
    <x v="1"/>
    <x v="1"/>
    <x v="0"/>
    <n v="64885.21"/>
    <n v="3"/>
    <n v="194655.63"/>
    <x v="6"/>
    <x v="2"/>
  </r>
  <r>
    <x v="551"/>
    <x v="3"/>
    <x v="3"/>
    <x v="1"/>
    <n v="6772.42"/>
    <n v="1"/>
    <n v="6772.42"/>
    <x v="134"/>
    <x v="1"/>
  </r>
  <r>
    <x v="552"/>
    <x v="3"/>
    <x v="3"/>
    <x v="3"/>
    <n v="1752.98"/>
    <n v="6"/>
    <n v="10517.88"/>
    <x v="133"/>
    <x v="2"/>
  </r>
  <r>
    <x v="553"/>
    <x v="4"/>
    <x v="4"/>
    <x v="3"/>
    <n v="2620.17"/>
    <n v="5"/>
    <n v="13100.85"/>
    <x v="32"/>
    <x v="0"/>
  </r>
  <r>
    <x v="554"/>
    <x v="3"/>
    <x v="3"/>
    <x v="3"/>
    <n v="1497.72"/>
    <n v="10"/>
    <n v="14977.2"/>
    <x v="175"/>
    <x v="3"/>
  </r>
  <r>
    <x v="555"/>
    <x v="5"/>
    <x v="5"/>
    <x v="5"/>
    <n v="6412.95"/>
    <n v="5"/>
    <n v="32064.75"/>
    <x v="282"/>
    <x v="2"/>
  </r>
  <r>
    <x v="556"/>
    <x v="5"/>
    <x v="5"/>
    <x v="4"/>
    <n v="10116.1"/>
    <n v="4"/>
    <n v="40464.400000000001"/>
    <x v="112"/>
    <x v="3"/>
  </r>
  <r>
    <x v="557"/>
    <x v="1"/>
    <x v="1"/>
    <x v="1"/>
    <n v="11132.35"/>
    <n v="2"/>
    <n v="22264.7"/>
    <x v="81"/>
    <x v="3"/>
  </r>
  <r>
    <x v="558"/>
    <x v="2"/>
    <x v="2"/>
    <x v="2"/>
    <n v="31511.88"/>
    <n v="2"/>
    <n v="63023.76"/>
    <x v="4"/>
    <x v="1"/>
  </r>
  <r>
    <x v="559"/>
    <x v="1"/>
    <x v="1"/>
    <x v="5"/>
    <n v="4163.12"/>
    <n v="4"/>
    <n v="16652.48"/>
    <x v="283"/>
    <x v="3"/>
  </r>
  <r>
    <x v="560"/>
    <x v="3"/>
    <x v="3"/>
    <x v="4"/>
    <n v="14308.07"/>
    <n v="4"/>
    <n v="57232.28"/>
    <x v="56"/>
    <x v="2"/>
  </r>
  <r>
    <x v="561"/>
    <x v="5"/>
    <x v="5"/>
    <x v="2"/>
    <n v="25692.720000000001"/>
    <n v="1"/>
    <n v="25692.720000000001"/>
    <x v="128"/>
    <x v="2"/>
  </r>
  <r>
    <x v="562"/>
    <x v="0"/>
    <x v="0"/>
    <x v="4"/>
    <n v="18118.78"/>
    <n v="4"/>
    <n v="72475.12"/>
    <x v="61"/>
    <x v="0"/>
  </r>
  <r>
    <x v="563"/>
    <x v="2"/>
    <x v="2"/>
    <x v="4"/>
    <n v="3933.59"/>
    <n v="2"/>
    <n v="7867.18"/>
    <x v="103"/>
    <x v="1"/>
  </r>
  <r>
    <x v="564"/>
    <x v="2"/>
    <x v="2"/>
    <x v="5"/>
    <n v="7789.45"/>
    <n v="1"/>
    <n v="7789.45"/>
    <x v="73"/>
    <x v="2"/>
  </r>
  <r>
    <x v="565"/>
    <x v="2"/>
    <x v="2"/>
    <x v="1"/>
    <n v="9802.6299999999992"/>
    <n v="4"/>
    <n v="39210.519999999997"/>
    <x v="130"/>
    <x v="1"/>
  </r>
  <r>
    <x v="566"/>
    <x v="0"/>
    <x v="0"/>
    <x v="0"/>
    <n v="64666.42"/>
    <n v="3"/>
    <n v="193999.26"/>
    <x v="87"/>
    <x v="3"/>
  </r>
  <r>
    <x v="567"/>
    <x v="3"/>
    <x v="3"/>
    <x v="0"/>
    <n v="36631.760000000002"/>
    <n v="1"/>
    <n v="36631.760000000002"/>
    <x v="284"/>
    <x v="3"/>
  </r>
  <r>
    <x v="568"/>
    <x v="5"/>
    <x v="5"/>
    <x v="1"/>
    <n v="10095.26"/>
    <n v="1"/>
    <n v="10095.26"/>
    <x v="11"/>
    <x v="2"/>
  </r>
  <r>
    <x v="569"/>
    <x v="1"/>
    <x v="1"/>
    <x v="1"/>
    <n v="3889.26"/>
    <n v="5"/>
    <n v="19446.3"/>
    <x v="51"/>
    <x v="0"/>
  </r>
  <r>
    <x v="570"/>
    <x v="5"/>
    <x v="5"/>
    <x v="3"/>
    <n v="3821.64"/>
    <n v="10"/>
    <n v="38216.400000000001"/>
    <x v="281"/>
    <x v="3"/>
  </r>
  <r>
    <x v="571"/>
    <x v="0"/>
    <x v="0"/>
    <x v="1"/>
    <n v="1943.27"/>
    <n v="1"/>
    <n v="1943.27"/>
    <x v="285"/>
    <x v="2"/>
  </r>
  <r>
    <x v="572"/>
    <x v="1"/>
    <x v="1"/>
    <x v="1"/>
    <n v="3892.51"/>
    <n v="5"/>
    <n v="19462.55"/>
    <x v="122"/>
    <x v="0"/>
  </r>
  <r>
    <x v="573"/>
    <x v="0"/>
    <x v="0"/>
    <x v="5"/>
    <n v="3621.29"/>
    <n v="5"/>
    <n v="18106.45"/>
    <x v="286"/>
    <x v="0"/>
  </r>
  <r>
    <x v="574"/>
    <x v="0"/>
    <x v="0"/>
    <x v="0"/>
    <n v="24716.12"/>
    <n v="3"/>
    <n v="74148.36"/>
    <x v="257"/>
    <x v="2"/>
  </r>
  <r>
    <x v="575"/>
    <x v="1"/>
    <x v="1"/>
    <x v="3"/>
    <n v="1965.73"/>
    <n v="3"/>
    <n v="5897.19"/>
    <x v="287"/>
    <x v="2"/>
  </r>
  <r>
    <x v="576"/>
    <x v="4"/>
    <x v="4"/>
    <x v="5"/>
    <n v="6578.83"/>
    <n v="3"/>
    <n v="19736.490000000002"/>
    <x v="204"/>
    <x v="2"/>
  </r>
  <r>
    <x v="577"/>
    <x v="2"/>
    <x v="2"/>
    <x v="5"/>
    <n v="2127.7399999999998"/>
    <n v="5"/>
    <n v="10638.7"/>
    <x v="179"/>
    <x v="0"/>
  </r>
  <r>
    <x v="578"/>
    <x v="0"/>
    <x v="0"/>
    <x v="4"/>
    <n v="14982.04"/>
    <n v="4"/>
    <n v="59928.160000000003"/>
    <x v="179"/>
    <x v="3"/>
  </r>
  <r>
    <x v="579"/>
    <x v="5"/>
    <x v="5"/>
    <x v="4"/>
    <n v="1752.13"/>
    <n v="3"/>
    <n v="5256.39"/>
    <x v="76"/>
    <x v="0"/>
  </r>
  <r>
    <x v="580"/>
    <x v="1"/>
    <x v="1"/>
    <x v="4"/>
    <n v="15385.06"/>
    <n v="1"/>
    <n v="15385.06"/>
    <x v="162"/>
    <x v="3"/>
  </r>
  <r>
    <x v="581"/>
    <x v="1"/>
    <x v="1"/>
    <x v="3"/>
    <n v="3970.52"/>
    <n v="1"/>
    <n v="3970.52"/>
    <x v="288"/>
    <x v="0"/>
  </r>
  <r>
    <x v="582"/>
    <x v="3"/>
    <x v="3"/>
    <x v="3"/>
    <n v="2038.41"/>
    <n v="3"/>
    <n v="6115.23"/>
    <x v="272"/>
    <x v="3"/>
  </r>
  <r>
    <x v="583"/>
    <x v="5"/>
    <x v="5"/>
    <x v="3"/>
    <n v="3626.27"/>
    <n v="1"/>
    <n v="3626.27"/>
    <x v="1"/>
    <x v="3"/>
  </r>
  <r>
    <x v="584"/>
    <x v="4"/>
    <x v="4"/>
    <x v="2"/>
    <n v="45841.78"/>
    <n v="1"/>
    <n v="45841.78"/>
    <x v="112"/>
    <x v="3"/>
  </r>
  <r>
    <x v="585"/>
    <x v="2"/>
    <x v="2"/>
    <x v="4"/>
    <n v="16074.05"/>
    <n v="1"/>
    <n v="16074.05"/>
    <x v="81"/>
    <x v="1"/>
  </r>
  <r>
    <x v="586"/>
    <x v="3"/>
    <x v="3"/>
    <x v="3"/>
    <n v="1982.71"/>
    <n v="8"/>
    <n v="15861.68"/>
    <x v="289"/>
    <x v="1"/>
  </r>
  <r>
    <x v="587"/>
    <x v="5"/>
    <x v="5"/>
    <x v="1"/>
    <n v="5965.3"/>
    <n v="3"/>
    <n v="17895.900000000001"/>
    <x v="290"/>
    <x v="3"/>
  </r>
  <r>
    <x v="588"/>
    <x v="3"/>
    <x v="3"/>
    <x v="3"/>
    <n v="3907.82"/>
    <n v="6"/>
    <n v="23446.92"/>
    <x v="64"/>
    <x v="1"/>
  </r>
  <r>
    <x v="589"/>
    <x v="3"/>
    <x v="3"/>
    <x v="0"/>
    <n v="22510.52"/>
    <n v="3"/>
    <n v="67531.56"/>
    <x v="59"/>
    <x v="1"/>
  </r>
  <r>
    <x v="590"/>
    <x v="4"/>
    <x v="4"/>
    <x v="0"/>
    <n v="60448.1"/>
    <n v="2"/>
    <n v="120896.2"/>
    <x v="54"/>
    <x v="0"/>
  </r>
  <r>
    <x v="591"/>
    <x v="1"/>
    <x v="1"/>
    <x v="0"/>
    <n v="25142.880000000001"/>
    <n v="2"/>
    <n v="50285.760000000002"/>
    <x v="159"/>
    <x v="0"/>
  </r>
  <r>
    <x v="592"/>
    <x v="5"/>
    <x v="5"/>
    <x v="4"/>
    <n v="16178.01"/>
    <n v="1"/>
    <n v="16178.01"/>
    <x v="103"/>
    <x v="2"/>
  </r>
  <r>
    <x v="593"/>
    <x v="2"/>
    <x v="2"/>
    <x v="3"/>
    <n v="479.66"/>
    <n v="5"/>
    <n v="2398.3000000000002"/>
    <x v="15"/>
    <x v="3"/>
  </r>
  <r>
    <x v="594"/>
    <x v="3"/>
    <x v="3"/>
    <x v="5"/>
    <n v="450.74"/>
    <n v="1"/>
    <n v="450.74"/>
    <x v="0"/>
    <x v="3"/>
  </r>
  <r>
    <x v="595"/>
    <x v="5"/>
    <x v="5"/>
    <x v="2"/>
    <n v="49886.1"/>
    <n v="2"/>
    <n v="99772.2"/>
    <x v="186"/>
    <x v="0"/>
  </r>
  <r>
    <x v="596"/>
    <x v="2"/>
    <x v="2"/>
    <x v="0"/>
    <n v="65313.72"/>
    <n v="3"/>
    <n v="195941.16"/>
    <x v="135"/>
    <x v="3"/>
  </r>
  <r>
    <x v="597"/>
    <x v="2"/>
    <x v="2"/>
    <x v="0"/>
    <n v="66307.28"/>
    <n v="2"/>
    <n v="132614.56"/>
    <x v="126"/>
    <x v="1"/>
  </r>
  <r>
    <x v="598"/>
    <x v="4"/>
    <x v="4"/>
    <x v="5"/>
    <n v="7615.11"/>
    <n v="2"/>
    <n v="15230.22"/>
    <x v="48"/>
    <x v="0"/>
  </r>
  <r>
    <x v="599"/>
    <x v="2"/>
    <x v="2"/>
    <x v="3"/>
    <n v="2219.67"/>
    <n v="7"/>
    <n v="15537.69"/>
    <x v="17"/>
    <x v="0"/>
  </r>
  <r>
    <x v="600"/>
    <x v="1"/>
    <x v="1"/>
    <x v="4"/>
    <n v="5950.66"/>
    <n v="4"/>
    <n v="23802.639999999999"/>
    <x v="251"/>
    <x v="1"/>
  </r>
  <r>
    <x v="601"/>
    <x v="0"/>
    <x v="0"/>
    <x v="0"/>
    <n v="10447.85"/>
    <n v="2"/>
    <n v="20895.7"/>
    <x v="124"/>
    <x v="2"/>
  </r>
  <r>
    <x v="602"/>
    <x v="4"/>
    <x v="4"/>
    <x v="2"/>
    <n v="25559.25"/>
    <n v="1"/>
    <n v="25559.25"/>
    <x v="225"/>
    <x v="1"/>
  </r>
  <r>
    <x v="603"/>
    <x v="2"/>
    <x v="2"/>
    <x v="5"/>
    <n v="1838.38"/>
    <n v="4"/>
    <n v="7353.52"/>
    <x v="265"/>
    <x v="0"/>
  </r>
  <r>
    <x v="604"/>
    <x v="4"/>
    <x v="4"/>
    <x v="3"/>
    <n v="4680.9799999999996"/>
    <n v="2"/>
    <n v="9361.9599999999991"/>
    <x v="32"/>
    <x v="3"/>
  </r>
  <r>
    <x v="605"/>
    <x v="0"/>
    <x v="0"/>
    <x v="3"/>
    <n v="69.819999999999993"/>
    <n v="10"/>
    <n v="698.2"/>
    <x v="231"/>
    <x v="3"/>
  </r>
  <r>
    <x v="606"/>
    <x v="0"/>
    <x v="0"/>
    <x v="4"/>
    <n v="3120.98"/>
    <n v="2"/>
    <n v="6241.96"/>
    <x v="59"/>
    <x v="2"/>
  </r>
  <r>
    <x v="607"/>
    <x v="3"/>
    <x v="3"/>
    <x v="3"/>
    <n v="1270.06"/>
    <n v="4"/>
    <n v="5080.24"/>
    <x v="7"/>
    <x v="3"/>
  </r>
  <r>
    <x v="608"/>
    <x v="0"/>
    <x v="0"/>
    <x v="1"/>
    <n v="2627.79"/>
    <n v="4"/>
    <n v="10511.16"/>
    <x v="91"/>
    <x v="2"/>
  </r>
  <r>
    <x v="609"/>
    <x v="1"/>
    <x v="1"/>
    <x v="1"/>
    <n v="2941.61"/>
    <n v="1"/>
    <n v="2941.61"/>
    <x v="272"/>
    <x v="1"/>
  </r>
  <r>
    <x v="610"/>
    <x v="1"/>
    <x v="1"/>
    <x v="3"/>
    <n v="3297.44"/>
    <n v="3"/>
    <n v="9892.32"/>
    <x v="291"/>
    <x v="0"/>
  </r>
  <r>
    <x v="611"/>
    <x v="2"/>
    <x v="2"/>
    <x v="5"/>
    <n v="2687.35"/>
    <n v="1"/>
    <n v="2687.35"/>
    <x v="150"/>
    <x v="0"/>
  </r>
  <r>
    <x v="612"/>
    <x v="4"/>
    <x v="4"/>
    <x v="5"/>
    <n v="4958.6899999999996"/>
    <n v="2"/>
    <n v="9917.3799999999992"/>
    <x v="282"/>
    <x v="1"/>
  </r>
  <r>
    <x v="613"/>
    <x v="4"/>
    <x v="4"/>
    <x v="3"/>
    <n v="4456.78"/>
    <n v="6"/>
    <n v="26740.68"/>
    <x v="46"/>
    <x v="0"/>
  </r>
  <r>
    <x v="614"/>
    <x v="5"/>
    <x v="5"/>
    <x v="5"/>
    <n v="4860.2"/>
    <n v="1"/>
    <n v="4860.2"/>
    <x v="150"/>
    <x v="3"/>
  </r>
  <r>
    <x v="615"/>
    <x v="0"/>
    <x v="0"/>
    <x v="0"/>
    <n v="52334.33"/>
    <n v="2"/>
    <n v="104668.66"/>
    <x v="292"/>
    <x v="1"/>
  </r>
  <r>
    <x v="616"/>
    <x v="0"/>
    <x v="0"/>
    <x v="0"/>
    <n v="27920.34"/>
    <n v="3"/>
    <n v="83761.02"/>
    <x v="10"/>
    <x v="3"/>
  </r>
  <r>
    <x v="617"/>
    <x v="5"/>
    <x v="5"/>
    <x v="1"/>
    <n v="2168.94"/>
    <n v="5"/>
    <n v="10844.7"/>
    <x v="124"/>
    <x v="0"/>
  </r>
  <r>
    <x v="618"/>
    <x v="3"/>
    <x v="3"/>
    <x v="4"/>
    <n v="6615.51"/>
    <n v="1"/>
    <n v="6615.51"/>
    <x v="215"/>
    <x v="0"/>
  </r>
  <r>
    <x v="619"/>
    <x v="3"/>
    <x v="3"/>
    <x v="0"/>
    <n v="72349.77"/>
    <n v="2"/>
    <n v="144699.54"/>
    <x v="222"/>
    <x v="0"/>
  </r>
  <r>
    <x v="620"/>
    <x v="0"/>
    <x v="0"/>
    <x v="0"/>
    <n v="46938.400000000001"/>
    <n v="1"/>
    <n v="46938.400000000001"/>
    <x v="188"/>
    <x v="0"/>
  </r>
  <r>
    <x v="621"/>
    <x v="1"/>
    <x v="1"/>
    <x v="1"/>
    <n v="3546.88"/>
    <n v="3"/>
    <n v="10640.64"/>
    <x v="23"/>
    <x v="0"/>
  </r>
  <r>
    <x v="622"/>
    <x v="4"/>
    <x v="4"/>
    <x v="5"/>
    <n v="3662.23"/>
    <n v="5"/>
    <n v="18311.150000000001"/>
    <x v="83"/>
    <x v="3"/>
  </r>
  <r>
    <x v="623"/>
    <x v="1"/>
    <x v="1"/>
    <x v="0"/>
    <n v="62795.07"/>
    <n v="3"/>
    <n v="188385.21"/>
    <x v="52"/>
    <x v="0"/>
  </r>
  <r>
    <x v="624"/>
    <x v="4"/>
    <x v="4"/>
    <x v="3"/>
    <n v="3358.8"/>
    <n v="3"/>
    <n v="10076.4"/>
    <x v="33"/>
    <x v="2"/>
  </r>
  <r>
    <x v="625"/>
    <x v="1"/>
    <x v="1"/>
    <x v="5"/>
    <n v="4529.16"/>
    <n v="2"/>
    <n v="9058.32"/>
    <x v="277"/>
    <x v="1"/>
  </r>
  <r>
    <x v="626"/>
    <x v="0"/>
    <x v="0"/>
    <x v="3"/>
    <n v="4431.5600000000004"/>
    <n v="8"/>
    <n v="35452.480000000003"/>
    <x v="293"/>
    <x v="2"/>
  </r>
  <r>
    <x v="627"/>
    <x v="3"/>
    <x v="3"/>
    <x v="0"/>
    <n v="50695.02"/>
    <n v="3"/>
    <n v="152085.06"/>
    <x v="294"/>
    <x v="1"/>
  </r>
  <r>
    <x v="628"/>
    <x v="1"/>
    <x v="1"/>
    <x v="0"/>
    <n v="48490.55"/>
    <n v="1"/>
    <n v="48490.55"/>
    <x v="228"/>
    <x v="3"/>
  </r>
  <r>
    <x v="629"/>
    <x v="0"/>
    <x v="0"/>
    <x v="3"/>
    <n v="989.35"/>
    <n v="1"/>
    <n v="989.35"/>
    <x v="239"/>
    <x v="3"/>
  </r>
  <r>
    <x v="630"/>
    <x v="4"/>
    <x v="4"/>
    <x v="1"/>
    <n v="1544.75"/>
    <n v="3"/>
    <n v="4634.25"/>
    <x v="74"/>
    <x v="3"/>
  </r>
  <r>
    <x v="631"/>
    <x v="0"/>
    <x v="0"/>
    <x v="5"/>
    <n v="7724.62"/>
    <n v="4"/>
    <n v="30898.48"/>
    <x v="202"/>
    <x v="1"/>
  </r>
  <r>
    <x v="632"/>
    <x v="3"/>
    <x v="3"/>
    <x v="2"/>
    <n v="30344.06"/>
    <n v="2"/>
    <n v="60688.12"/>
    <x v="87"/>
    <x v="0"/>
  </r>
  <r>
    <x v="633"/>
    <x v="5"/>
    <x v="5"/>
    <x v="2"/>
    <n v="21368.49"/>
    <n v="3"/>
    <n v="64105.47"/>
    <x v="244"/>
    <x v="2"/>
  </r>
  <r>
    <x v="634"/>
    <x v="3"/>
    <x v="3"/>
    <x v="4"/>
    <n v="11903.71"/>
    <n v="4"/>
    <n v="47614.84"/>
    <x v="174"/>
    <x v="2"/>
  </r>
  <r>
    <x v="635"/>
    <x v="3"/>
    <x v="3"/>
    <x v="3"/>
    <n v="355.97"/>
    <n v="8"/>
    <n v="2847.76"/>
    <x v="118"/>
    <x v="1"/>
  </r>
  <r>
    <x v="636"/>
    <x v="2"/>
    <x v="2"/>
    <x v="3"/>
    <n v="4119.53"/>
    <n v="1"/>
    <n v="4119.53"/>
    <x v="103"/>
    <x v="1"/>
  </r>
  <r>
    <x v="637"/>
    <x v="2"/>
    <x v="2"/>
    <x v="4"/>
    <n v="4567.92"/>
    <n v="4"/>
    <n v="18271.68"/>
    <x v="139"/>
    <x v="3"/>
  </r>
  <r>
    <x v="638"/>
    <x v="0"/>
    <x v="0"/>
    <x v="3"/>
    <n v="4032.5"/>
    <n v="8"/>
    <n v="32260"/>
    <x v="295"/>
    <x v="0"/>
  </r>
  <r>
    <x v="639"/>
    <x v="0"/>
    <x v="0"/>
    <x v="2"/>
    <n v="27184.54"/>
    <n v="2"/>
    <n v="54369.08"/>
    <x v="56"/>
    <x v="3"/>
  </r>
  <r>
    <x v="640"/>
    <x v="0"/>
    <x v="0"/>
    <x v="5"/>
    <n v="2284.92"/>
    <n v="3"/>
    <n v="6854.76"/>
    <x v="296"/>
    <x v="0"/>
  </r>
  <r>
    <x v="641"/>
    <x v="0"/>
    <x v="0"/>
    <x v="0"/>
    <n v="3041.58"/>
    <n v="3"/>
    <n v="9124.74"/>
    <x v="297"/>
    <x v="0"/>
  </r>
  <r>
    <x v="642"/>
    <x v="3"/>
    <x v="3"/>
    <x v="1"/>
    <n v="9845.25"/>
    <n v="5"/>
    <n v="49226.25"/>
    <x v="219"/>
    <x v="2"/>
  </r>
  <r>
    <x v="643"/>
    <x v="5"/>
    <x v="5"/>
    <x v="0"/>
    <n v="13893.34"/>
    <n v="2"/>
    <n v="27786.68"/>
    <x v="81"/>
    <x v="0"/>
  </r>
  <r>
    <x v="644"/>
    <x v="2"/>
    <x v="2"/>
    <x v="0"/>
    <n v="4643.9399999999996"/>
    <n v="1"/>
    <n v="4643.9399999999996"/>
    <x v="91"/>
    <x v="3"/>
  </r>
  <r>
    <x v="645"/>
    <x v="0"/>
    <x v="0"/>
    <x v="1"/>
    <n v="9143.77"/>
    <n v="4"/>
    <n v="36575.08"/>
    <x v="214"/>
    <x v="0"/>
  </r>
  <r>
    <x v="646"/>
    <x v="3"/>
    <x v="3"/>
    <x v="3"/>
    <n v="1782.71"/>
    <n v="7"/>
    <n v="12478.97"/>
    <x v="298"/>
    <x v="0"/>
  </r>
  <r>
    <x v="647"/>
    <x v="1"/>
    <x v="1"/>
    <x v="5"/>
    <n v="3175.74"/>
    <n v="1"/>
    <n v="3175.74"/>
    <x v="69"/>
    <x v="0"/>
  </r>
  <r>
    <x v="648"/>
    <x v="2"/>
    <x v="2"/>
    <x v="4"/>
    <n v="5167.2299999999996"/>
    <n v="4"/>
    <n v="20668.919999999998"/>
    <x v="36"/>
    <x v="2"/>
  </r>
  <r>
    <x v="649"/>
    <x v="3"/>
    <x v="3"/>
    <x v="5"/>
    <n v="6887.51"/>
    <n v="2"/>
    <n v="13775.02"/>
    <x v="13"/>
    <x v="0"/>
  </r>
  <r>
    <x v="650"/>
    <x v="1"/>
    <x v="1"/>
    <x v="3"/>
    <n v="1521.78"/>
    <n v="9"/>
    <n v="13696.02"/>
    <x v="299"/>
    <x v="0"/>
  </r>
  <r>
    <x v="651"/>
    <x v="4"/>
    <x v="4"/>
    <x v="3"/>
    <n v="1090.45"/>
    <n v="6"/>
    <n v="6542.7"/>
    <x v="242"/>
    <x v="1"/>
  </r>
  <r>
    <x v="652"/>
    <x v="2"/>
    <x v="2"/>
    <x v="3"/>
    <n v="1580.79"/>
    <n v="4"/>
    <n v="6323.16"/>
    <x v="300"/>
    <x v="0"/>
  </r>
  <r>
    <x v="653"/>
    <x v="5"/>
    <x v="5"/>
    <x v="0"/>
    <n v="15873.7"/>
    <n v="1"/>
    <n v="15873.7"/>
    <x v="188"/>
    <x v="0"/>
  </r>
  <r>
    <x v="654"/>
    <x v="0"/>
    <x v="0"/>
    <x v="4"/>
    <n v="6557.81"/>
    <n v="1"/>
    <n v="6557.81"/>
    <x v="25"/>
    <x v="1"/>
  </r>
  <r>
    <x v="655"/>
    <x v="5"/>
    <x v="5"/>
    <x v="3"/>
    <n v="460.53"/>
    <n v="8"/>
    <n v="3684.24"/>
    <x v="41"/>
    <x v="0"/>
  </r>
  <r>
    <x v="656"/>
    <x v="0"/>
    <x v="0"/>
    <x v="3"/>
    <n v="834.72"/>
    <n v="4"/>
    <n v="3338.88"/>
    <x v="126"/>
    <x v="1"/>
  </r>
  <r>
    <x v="657"/>
    <x v="5"/>
    <x v="5"/>
    <x v="5"/>
    <n v="3394.72"/>
    <n v="5"/>
    <n v="16973.599999999999"/>
    <x v="6"/>
    <x v="2"/>
  </r>
  <r>
    <x v="658"/>
    <x v="2"/>
    <x v="2"/>
    <x v="3"/>
    <n v="4403.3599999999997"/>
    <n v="3"/>
    <n v="13210.08"/>
    <x v="301"/>
    <x v="3"/>
  </r>
  <r>
    <x v="659"/>
    <x v="5"/>
    <x v="5"/>
    <x v="0"/>
    <n v="5050.97"/>
    <n v="3"/>
    <n v="15152.91"/>
    <x v="261"/>
    <x v="3"/>
  </r>
  <r>
    <x v="660"/>
    <x v="5"/>
    <x v="5"/>
    <x v="0"/>
    <n v="16580.46"/>
    <n v="3"/>
    <n v="49741.38"/>
    <x v="145"/>
    <x v="0"/>
  </r>
  <r>
    <x v="661"/>
    <x v="4"/>
    <x v="4"/>
    <x v="2"/>
    <n v="45508.94"/>
    <n v="1"/>
    <n v="45508.94"/>
    <x v="302"/>
    <x v="1"/>
  </r>
  <r>
    <x v="662"/>
    <x v="3"/>
    <x v="3"/>
    <x v="5"/>
    <n v="7131.12"/>
    <n v="4"/>
    <n v="28524.48"/>
    <x v="71"/>
    <x v="1"/>
  </r>
  <r>
    <x v="663"/>
    <x v="3"/>
    <x v="3"/>
    <x v="0"/>
    <n v="51215.25"/>
    <n v="3"/>
    <n v="153645.75"/>
    <x v="30"/>
    <x v="3"/>
  </r>
  <r>
    <x v="664"/>
    <x v="5"/>
    <x v="5"/>
    <x v="4"/>
    <n v="5037.33"/>
    <n v="2"/>
    <n v="10074.66"/>
    <x v="203"/>
    <x v="1"/>
  </r>
  <r>
    <x v="665"/>
    <x v="2"/>
    <x v="2"/>
    <x v="5"/>
    <n v="3416.5"/>
    <n v="1"/>
    <n v="3416.5"/>
    <x v="76"/>
    <x v="0"/>
  </r>
  <r>
    <x v="666"/>
    <x v="0"/>
    <x v="0"/>
    <x v="5"/>
    <n v="1768.65"/>
    <n v="5"/>
    <n v="8843.25"/>
    <x v="303"/>
    <x v="0"/>
  </r>
  <r>
    <x v="667"/>
    <x v="4"/>
    <x v="4"/>
    <x v="3"/>
    <n v="686.51"/>
    <n v="5"/>
    <n v="3432.55"/>
    <x v="304"/>
    <x v="3"/>
  </r>
  <r>
    <x v="668"/>
    <x v="5"/>
    <x v="5"/>
    <x v="0"/>
    <n v="28995.88"/>
    <n v="1"/>
    <n v="28995.88"/>
    <x v="200"/>
    <x v="2"/>
  </r>
  <r>
    <x v="669"/>
    <x v="1"/>
    <x v="1"/>
    <x v="5"/>
    <n v="4648.99"/>
    <n v="5"/>
    <n v="23244.95"/>
    <x v="305"/>
    <x v="1"/>
  </r>
  <r>
    <x v="670"/>
    <x v="3"/>
    <x v="3"/>
    <x v="3"/>
    <n v="1831.67"/>
    <n v="7"/>
    <n v="12821.69"/>
    <x v="57"/>
    <x v="2"/>
  </r>
  <r>
    <x v="671"/>
    <x v="2"/>
    <x v="2"/>
    <x v="2"/>
    <n v="30930.400000000001"/>
    <n v="1"/>
    <n v="30930.400000000001"/>
    <x v="121"/>
    <x v="1"/>
  </r>
  <r>
    <x v="672"/>
    <x v="4"/>
    <x v="4"/>
    <x v="5"/>
    <n v="2440.41"/>
    <n v="2"/>
    <n v="4880.82"/>
    <x v="306"/>
    <x v="1"/>
  </r>
  <r>
    <x v="673"/>
    <x v="2"/>
    <x v="2"/>
    <x v="0"/>
    <n v="26462.11"/>
    <n v="1"/>
    <n v="26462.11"/>
    <x v="140"/>
    <x v="1"/>
  </r>
  <r>
    <x v="674"/>
    <x v="2"/>
    <x v="2"/>
    <x v="5"/>
    <n v="6346.32"/>
    <n v="5"/>
    <n v="31731.599999999999"/>
    <x v="242"/>
    <x v="2"/>
  </r>
  <r>
    <x v="675"/>
    <x v="5"/>
    <x v="5"/>
    <x v="4"/>
    <n v="17602.8"/>
    <n v="1"/>
    <n v="17602.8"/>
    <x v="105"/>
    <x v="1"/>
  </r>
  <r>
    <x v="676"/>
    <x v="4"/>
    <x v="4"/>
    <x v="2"/>
    <n v="16779.669999999998"/>
    <n v="3"/>
    <n v="50339.01"/>
    <x v="307"/>
    <x v="1"/>
  </r>
  <r>
    <x v="677"/>
    <x v="1"/>
    <x v="1"/>
    <x v="1"/>
    <n v="6986.73"/>
    <n v="3"/>
    <n v="20960.189999999999"/>
    <x v="26"/>
    <x v="0"/>
  </r>
  <r>
    <x v="678"/>
    <x v="3"/>
    <x v="3"/>
    <x v="4"/>
    <n v="5779.8"/>
    <n v="3"/>
    <n v="17339.400000000001"/>
    <x v="308"/>
    <x v="0"/>
  </r>
  <r>
    <x v="679"/>
    <x v="5"/>
    <x v="5"/>
    <x v="1"/>
    <n v="924.02"/>
    <n v="5"/>
    <n v="4620.1000000000004"/>
    <x v="94"/>
    <x v="1"/>
  </r>
  <r>
    <x v="680"/>
    <x v="3"/>
    <x v="3"/>
    <x v="5"/>
    <n v="5929.07"/>
    <n v="5"/>
    <n v="29645.35"/>
    <x v="202"/>
    <x v="0"/>
  </r>
  <r>
    <x v="681"/>
    <x v="3"/>
    <x v="3"/>
    <x v="5"/>
    <n v="1450.93"/>
    <n v="1"/>
    <n v="1450.93"/>
    <x v="24"/>
    <x v="0"/>
  </r>
  <r>
    <x v="682"/>
    <x v="3"/>
    <x v="3"/>
    <x v="5"/>
    <n v="3463.13"/>
    <n v="1"/>
    <n v="3463.13"/>
    <x v="248"/>
    <x v="3"/>
  </r>
  <r>
    <x v="683"/>
    <x v="1"/>
    <x v="1"/>
    <x v="3"/>
    <n v="2460.88"/>
    <n v="2"/>
    <n v="4921.76"/>
    <x v="142"/>
    <x v="2"/>
  </r>
  <r>
    <x v="684"/>
    <x v="2"/>
    <x v="2"/>
    <x v="0"/>
    <n v="14487.79"/>
    <n v="3"/>
    <n v="43463.37"/>
    <x v="102"/>
    <x v="3"/>
  </r>
  <r>
    <x v="685"/>
    <x v="5"/>
    <x v="5"/>
    <x v="3"/>
    <n v="518.04999999999995"/>
    <n v="6"/>
    <n v="3108.3"/>
    <x v="81"/>
    <x v="0"/>
  </r>
  <r>
    <x v="686"/>
    <x v="1"/>
    <x v="1"/>
    <x v="1"/>
    <n v="4371.75"/>
    <n v="1"/>
    <n v="4371.75"/>
    <x v="207"/>
    <x v="3"/>
  </r>
  <r>
    <x v="687"/>
    <x v="4"/>
    <x v="4"/>
    <x v="1"/>
    <n v="11441.75"/>
    <n v="2"/>
    <n v="22883.5"/>
    <x v="239"/>
    <x v="2"/>
  </r>
  <r>
    <x v="688"/>
    <x v="0"/>
    <x v="0"/>
    <x v="2"/>
    <n v="31141.64"/>
    <n v="2"/>
    <n v="62283.28"/>
    <x v="190"/>
    <x v="3"/>
  </r>
  <r>
    <x v="689"/>
    <x v="1"/>
    <x v="1"/>
    <x v="3"/>
    <n v="1937.98"/>
    <n v="8"/>
    <n v="15503.84"/>
    <x v="99"/>
    <x v="1"/>
  </r>
  <r>
    <x v="690"/>
    <x v="5"/>
    <x v="5"/>
    <x v="5"/>
    <n v="407.4"/>
    <n v="2"/>
    <n v="814.8"/>
    <x v="8"/>
    <x v="0"/>
  </r>
  <r>
    <x v="691"/>
    <x v="4"/>
    <x v="4"/>
    <x v="4"/>
    <n v="12125.38"/>
    <n v="4"/>
    <n v="48501.52"/>
    <x v="119"/>
    <x v="1"/>
  </r>
  <r>
    <x v="692"/>
    <x v="5"/>
    <x v="5"/>
    <x v="3"/>
    <n v="506.68"/>
    <n v="10"/>
    <n v="5066.8"/>
    <x v="27"/>
    <x v="0"/>
  </r>
  <r>
    <x v="693"/>
    <x v="5"/>
    <x v="5"/>
    <x v="5"/>
    <n v="4386.1000000000004"/>
    <n v="4"/>
    <n v="17544.400000000001"/>
    <x v="309"/>
    <x v="0"/>
  </r>
  <r>
    <x v="694"/>
    <x v="4"/>
    <x v="4"/>
    <x v="2"/>
    <n v="37845.57"/>
    <n v="2"/>
    <n v="75691.14"/>
    <x v="310"/>
    <x v="0"/>
  </r>
  <r>
    <x v="695"/>
    <x v="1"/>
    <x v="1"/>
    <x v="1"/>
    <n v="5255.95"/>
    <n v="5"/>
    <n v="26279.75"/>
    <x v="283"/>
    <x v="3"/>
  </r>
  <r>
    <x v="696"/>
    <x v="0"/>
    <x v="0"/>
    <x v="0"/>
    <n v="23016.33"/>
    <n v="3"/>
    <n v="69048.990000000005"/>
    <x v="239"/>
    <x v="0"/>
  </r>
  <r>
    <x v="697"/>
    <x v="2"/>
    <x v="2"/>
    <x v="5"/>
    <n v="474.34"/>
    <n v="3"/>
    <n v="1423.02"/>
    <x v="179"/>
    <x v="3"/>
  </r>
  <r>
    <x v="698"/>
    <x v="2"/>
    <x v="2"/>
    <x v="4"/>
    <n v="788.12"/>
    <n v="2"/>
    <n v="1576.24"/>
    <x v="95"/>
    <x v="1"/>
  </r>
  <r>
    <x v="699"/>
    <x v="5"/>
    <x v="5"/>
    <x v="2"/>
    <n v="22071.3"/>
    <n v="3"/>
    <n v="66213.899999999994"/>
    <x v="22"/>
    <x v="0"/>
  </r>
  <r>
    <x v="700"/>
    <x v="5"/>
    <x v="5"/>
    <x v="4"/>
    <n v="17701.900000000001"/>
    <n v="3"/>
    <n v="53105.7"/>
    <x v="151"/>
    <x v="2"/>
  </r>
  <r>
    <x v="701"/>
    <x v="5"/>
    <x v="5"/>
    <x v="4"/>
    <n v="5108.04"/>
    <n v="1"/>
    <n v="5108.04"/>
    <x v="152"/>
    <x v="2"/>
  </r>
  <r>
    <x v="702"/>
    <x v="3"/>
    <x v="3"/>
    <x v="3"/>
    <n v="2891.57"/>
    <n v="10"/>
    <n v="28915.7"/>
    <x v="311"/>
    <x v="1"/>
  </r>
  <r>
    <x v="703"/>
    <x v="0"/>
    <x v="0"/>
    <x v="2"/>
    <n v="34530.99"/>
    <n v="1"/>
    <n v="34530.99"/>
    <x v="150"/>
    <x v="0"/>
  </r>
  <r>
    <x v="704"/>
    <x v="5"/>
    <x v="5"/>
    <x v="1"/>
    <n v="1011.71"/>
    <n v="4"/>
    <n v="4046.84"/>
    <x v="134"/>
    <x v="0"/>
  </r>
  <r>
    <x v="705"/>
    <x v="1"/>
    <x v="1"/>
    <x v="4"/>
    <n v="3316.08"/>
    <n v="3"/>
    <n v="9948.24"/>
    <x v="312"/>
    <x v="1"/>
  </r>
  <r>
    <x v="706"/>
    <x v="0"/>
    <x v="0"/>
    <x v="0"/>
    <n v="25380.74"/>
    <n v="2"/>
    <n v="50761.48"/>
    <x v="286"/>
    <x v="0"/>
  </r>
  <r>
    <x v="707"/>
    <x v="0"/>
    <x v="0"/>
    <x v="3"/>
    <n v="3366.96"/>
    <n v="1"/>
    <n v="3366.96"/>
    <x v="18"/>
    <x v="3"/>
  </r>
  <r>
    <x v="708"/>
    <x v="1"/>
    <x v="1"/>
    <x v="4"/>
    <n v="8948.99"/>
    <n v="2"/>
    <n v="17897.98"/>
    <x v="33"/>
    <x v="3"/>
  </r>
  <r>
    <x v="709"/>
    <x v="1"/>
    <x v="1"/>
    <x v="3"/>
    <n v="3684.27"/>
    <n v="9"/>
    <n v="33158.43"/>
    <x v="120"/>
    <x v="2"/>
  </r>
  <r>
    <x v="710"/>
    <x v="4"/>
    <x v="4"/>
    <x v="5"/>
    <n v="6954.02"/>
    <n v="2"/>
    <n v="13908.04"/>
    <x v="9"/>
    <x v="0"/>
  </r>
  <r>
    <x v="711"/>
    <x v="2"/>
    <x v="2"/>
    <x v="3"/>
    <n v="3803.94"/>
    <n v="7"/>
    <n v="26627.58"/>
    <x v="281"/>
    <x v="3"/>
  </r>
  <r>
    <x v="712"/>
    <x v="0"/>
    <x v="0"/>
    <x v="4"/>
    <n v="19847.27"/>
    <n v="4"/>
    <n v="79389.08"/>
    <x v="98"/>
    <x v="3"/>
  </r>
  <r>
    <x v="713"/>
    <x v="4"/>
    <x v="4"/>
    <x v="4"/>
    <n v="15160.91"/>
    <n v="4"/>
    <n v="60643.64"/>
    <x v="211"/>
    <x v="3"/>
  </r>
  <r>
    <x v="714"/>
    <x v="0"/>
    <x v="0"/>
    <x v="3"/>
    <n v="4268.29"/>
    <n v="6"/>
    <n v="25609.74"/>
    <x v="221"/>
    <x v="0"/>
  </r>
  <r>
    <x v="715"/>
    <x v="3"/>
    <x v="3"/>
    <x v="5"/>
    <n v="6675.69"/>
    <n v="2"/>
    <n v="13351.38"/>
    <x v="274"/>
    <x v="3"/>
  </r>
  <r>
    <x v="716"/>
    <x v="1"/>
    <x v="1"/>
    <x v="3"/>
    <n v="3664.82"/>
    <n v="7"/>
    <n v="25653.74"/>
    <x v="60"/>
    <x v="1"/>
  </r>
  <r>
    <x v="717"/>
    <x v="3"/>
    <x v="3"/>
    <x v="2"/>
    <n v="40288.29"/>
    <n v="2"/>
    <n v="80576.58"/>
    <x v="100"/>
    <x v="0"/>
  </r>
  <r>
    <x v="718"/>
    <x v="2"/>
    <x v="2"/>
    <x v="2"/>
    <n v="46799.48"/>
    <n v="2"/>
    <n v="93598.96"/>
    <x v="56"/>
    <x v="3"/>
  </r>
  <r>
    <x v="719"/>
    <x v="4"/>
    <x v="4"/>
    <x v="5"/>
    <n v="3854.14"/>
    <n v="4"/>
    <n v="15416.56"/>
    <x v="185"/>
    <x v="2"/>
  </r>
  <r>
    <x v="720"/>
    <x v="1"/>
    <x v="1"/>
    <x v="0"/>
    <n v="48160.9"/>
    <n v="3"/>
    <n v="144482.70000000001"/>
    <x v="312"/>
    <x v="1"/>
  </r>
  <r>
    <x v="721"/>
    <x v="1"/>
    <x v="1"/>
    <x v="3"/>
    <n v="2598.9499999999998"/>
    <n v="3"/>
    <n v="7796.85"/>
    <x v="141"/>
    <x v="0"/>
  </r>
  <r>
    <x v="722"/>
    <x v="3"/>
    <x v="3"/>
    <x v="2"/>
    <n v="42700.81"/>
    <n v="3"/>
    <n v="128102.43"/>
    <x v="18"/>
    <x v="1"/>
  </r>
  <r>
    <x v="723"/>
    <x v="4"/>
    <x v="4"/>
    <x v="1"/>
    <n v="5346.91"/>
    <n v="3"/>
    <n v="16040.73"/>
    <x v="306"/>
    <x v="1"/>
  </r>
  <r>
    <x v="724"/>
    <x v="3"/>
    <x v="3"/>
    <x v="1"/>
    <n v="9890.7999999999993"/>
    <n v="5"/>
    <n v="49454"/>
    <x v="86"/>
    <x v="3"/>
  </r>
  <r>
    <x v="725"/>
    <x v="3"/>
    <x v="3"/>
    <x v="0"/>
    <n v="60112.11"/>
    <n v="2"/>
    <n v="120224.22"/>
    <x v="190"/>
    <x v="0"/>
  </r>
  <r>
    <x v="726"/>
    <x v="5"/>
    <x v="5"/>
    <x v="3"/>
    <n v="4811.34"/>
    <n v="9"/>
    <n v="43302.06"/>
    <x v="313"/>
    <x v="0"/>
  </r>
  <r>
    <x v="727"/>
    <x v="3"/>
    <x v="3"/>
    <x v="5"/>
    <n v="2066.4699999999998"/>
    <n v="5"/>
    <n v="10332.35"/>
    <x v="43"/>
    <x v="3"/>
  </r>
  <r>
    <x v="728"/>
    <x v="1"/>
    <x v="1"/>
    <x v="0"/>
    <n v="53453.77"/>
    <n v="3"/>
    <n v="160361.31"/>
    <x v="14"/>
    <x v="1"/>
  </r>
  <r>
    <x v="729"/>
    <x v="1"/>
    <x v="1"/>
    <x v="3"/>
    <n v="3796.75"/>
    <n v="8"/>
    <n v="30374"/>
    <x v="110"/>
    <x v="0"/>
  </r>
  <r>
    <x v="730"/>
    <x v="5"/>
    <x v="5"/>
    <x v="4"/>
    <n v="18744.689999999999"/>
    <n v="3"/>
    <n v="56234.07"/>
    <x v="314"/>
    <x v="3"/>
  </r>
  <r>
    <x v="731"/>
    <x v="3"/>
    <x v="3"/>
    <x v="0"/>
    <n v="68092.160000000003"/>
    <n v="1"/>
    <n v="68092.160000000003"/>
    <x v="315"/>
    <x v="3"/>
  </r>
  <r>
    <x v="732"/>
    <x v="3"/>
    <x v="3"/>
    <x v="5"/>
    <n v="4630.8500000000004"/>
    <n v="2"/>
    <n v="9261.7000000000007"/>
    <x v="316"/>
    <x v="2"/>
  </r>
  <r>
    <x v="733"/>
    <x v="5"/>
    <x v="5"/>
    <x v="3"/>
    <n v="2916.81"/>
    <n v="5"/>
    <n v="14584.05"/>
    <x v="299"/>
    <x v="1"/>
  </r>
  <r>
    <x v="734"/>
    <x v="3"/>
    <x v="3"/>
    <x v="5"/>
    <n v="1421.6"/>
    <n v="4"/>
    <n v="5686.4"/>
    <x v="11"/>
    <x v="3"/>
  </r>
  <r>
    <x v="735"/>
    <x v="2"/>
    <x v="2"/>
    <x v="5"/>
    <n v="7802.21"/>
    <n v="3"/>
    <n v="23406.63"/>
    <x v="244"/>
    <x v="1"/>
  </r>
  <r>
    <x v="736"/>
    <x v="3"/>
    <x v="3"/>
    <x v="4"/>
    <n v="5323.84"/>
    <n v="2"/>
    <n v="10647.68"/>
    <x v="317"/>
    <x v="3"/>
  </r>
  <r>
    <x v="737"/>
    <x v="5"/>
    <x v="5"/>
    <x v="0"/>
    <n v="54575.43"/>
    <n v="1"/>
    <n v="54575.43"/>
    <x v="268"/>
    <x v="2"/>
  </r>
  <r>
    <x v="738"/>
    <x v="5"/>
    <x v="5"/>
    <x v="1"/>
    <n v="9610.7999999999993"/>
    <n v="4"/>
    <n v="38443.199999999997"/>
    <x v="208"/>
    <x v="0"/>
  </r>
  <r>
    <x v="739"/>
    <x v="1"/>
    <x v="1"/>
    <x v="5"/>
    <n v="3585.6"/>
    <n v="3"/>
    <n v="10756.8"/>
    <x v="115"/>
    <x v="2"/>
  </r>
  <r>
    <x v="740"/>
    <x v="3"/>
    <x v="3"/>
    <x v="3"/>
    <n v="1095.4100000000001"/>
    <n v="1"/>
    <n v="1095.4100000000001"/>
    <x v="204"/>
    <x v="3"/>
  </r>
  <r>
    <x v="741"/>
    <x v="3"/>
    <x v="3"/>
    <x v="3"/>
    <n v="985.35"/>
    <n v="3"/>
    <n v="2956.05"/>
    <x v="157"/>
    <x v="0"/>
  </r>
  <r>
    <x v="742"/>
    <x v="0"/>
    <x v="0"/>
    <x v="0"/>
    <n v="64352"/>
    <n v="3"/>
    <n v="193056"/>
    <x v="270"/>
    <x v="3"/>
  </r>
  <r>
    <x v="743"/>
    <x v="3"/>
    <x v="3"/>
    <x v="4"/>
    <n v="10361.9"/>
    <n v="1"/>
    <n v="10361.9"/>
    <x v="37"/>
    <x v="0"/>
  </r>
  <r>
    <x v="744"/>
    <x v="1"/>
    <x v="1"/>
    <x v="2"/>
    <n v="5416.71"/>
    <n v="2"/>
    <n v="10833.42"/>
    <x v="318"/>
    <x v="1"/>
  </r>
  <r>
    <x v="745"/>
    <x v="1"/>
    <x v="1"/>
    <x v="2"/>
    <n v="36133.949999999997"/>
    <n v="2"/>
    <n v="72267.899999999994"/>
    <x v="224"/>
    <x v="0"/>
  </r>
  <r>
    <x v="746"/>
    <x v="5"/>
    <x v="5"/>
    <x v="5"/>
    <n v="2076.35"/>
    <n v="1"/>
    <n v="2076.35"/>
    <x v="104"/>
    <x v="3"/>
  </r>
  <r>
    <x v="747"/>
    <x v="1"/>
    <x v="1"/>
    <x v="1"/>
    <n v="10553.82"/>
    <n v="1"/>
    <n v="10553.82"/>
    <x v="284"/>
    <x v="3"/>
  </r>
  <r>
    <x v="748"/>
    <x v="0"/>
    <x v="0"/>
    <x v="1"/>
    <n v="3921.99"/>
    <n v="5"/>
    <n v="19609.95"/>
    <x v="280"/>
    <x v="1"/>
  </r>
  <r>
    <x v="749"/>
    <x v="0"/>
    <x v="0"/>
    <x v="1"/>
    <n v="2643.17"/>
    <n v="3"/>
    <n v="7929.51"/>
    <x v="98"/>
    <x v="3"/>
  </r>
  <r>
    <x v="750"/>
    <x v="5"/>
    <x v="5"/>
    <x v="2"/>
    <n v="5158.0600000000004"/>
    <n v="1"/>
    <n v="5158.0600000000004"/>
    <x v="264"/>
    <x v="3"/>
  </r>
  <r>
    <x v="751"/>
    <x v="5"/>
    <x v="5"/>
    <x v="0"/>
    <n v="38755.61"/>
    <n v="1"/>
    <n v="38755.61"/>
    <x v="116"/>
    <x v="0"/>
  </r>
  <r>
    <x v="752"/>
    <x v="5"/>
    <x v="5"/>
    <x v="4"/>
    <n v="9179.5300000000007"/>
    <n v="2"/>
    <n v="18359.060000000001"/>
    <x v="12"/>
    <x v="0"/>
  </r>
  <r>
    <x v="753"/>
    <x v="1"/>
    <x v="1"/>
    <x v="5"/>
    <n v="6035.37"/>
    <n v="4"/>
    <n v="24141.48"/>
    <x v="87"/>
    <x v="3"/>
  </r>
  <r>
    <x v="754"/>
    <x v="2"/>
    <x v="2"/>
    <x v="3"/>
    <n v="2349.7800000000002"/>
    <n v="8"/>
    <n v="18798.240000000002"/>
    <x v="218"/>
    <x v="0"/>
  </r>
  <r>
    <x v="755"/>
    <x v="5"/>
    <x v="5"/>
    <x v="1"/>
    <n v="4322.6499999999996"/>
    <n v="1"/>
    <n v="4322.6499999999996"/>
    <x v="52"/>
    <x v="0"/>
  </r>
  <r>
    <x v="756"/>
    <x v="5"/>
    <x v="5"/>
    <x v="0"/>
    <n v="20214.79"/>
    <n v="3"/>
    <n v="60644.37"/>
    <x v="19"/>
    <x v="0"/>
  </r>
  <r>
    <x v="757"/>
    <x v="4"/>
    <x v="4"/>
    <x v="4"/>
    <n v="5779.49"/>
    <n v="4"/>
    <n v="23117.96"/>
    <x v="293"/>
    <x v="2"/>
  </r>
  <r>
    <x v="758"/>
    <x v="3"/>
    <x v="3"/>
    <x v="4"/>
    <n v="18578.599999999999"/>
    <n v="1"/>
    <n v="18578.599999999999"/>
    <x v="245"/>
    <x v="2"/>
  </r>
  <r>
    <x v="759"/>
    <x v="1"/>
    <x v="1"/>
    <x v="4"/>
    <n v="3552.05"/>
    <n v="1"/>
    <n v="3552.05"/>
    <x v="123"/>
    <x v="2"/>
  </r>
  <r>
    <x v="760"/>
    <x v="2"/>
    <x v="2"/>
    <x v="3"/>
    <n v="4941.47"/>
    <n v="10"/>
    <n v="49414.7"/>
    <x v="316"/>
    <x v="2"/>
  </r>
  <r>
    <x v="761"/>
    <x v="3"/>
    <x v="3"/>
    <x v="0"/>
    <n v="25057.42"/>
    <n v="2"/>
    <n v="50114.84"/>
    <x v="254"/>
    <x v="0"/>
  </r>
  <r>
    <x v="762"/>
    <x v="3"/>
    <x v="3"/>
    <x v="0"/>
    <n v="7358.56"/>
    <n v="3"/>
    <n v="22075.68"/>
    <x v="273"/>
    <x v="3"/>
  </r>
  <r>
    <x v="763"/>
    <x v="3"/>
    <x v="3"/>
    <x v="0"/>
    <n v="19252.830000000002"/>
    <n v="1"/>
    <n v="19252.830000000002"/>
    <x v="292"/>
    <x v="1"/>
  </r>
  <r>
    <x v="764"/>
    <x v="4"/>
    <x v="4"/>
    <x v="0"/>
    <n v="5134.3500000000004"/>
    <n v="1"/>
    <n v="5134.3500000000004"/>
    <x v="232"/>
    <x v="3"/>
  </r>
  <r>
    <x v="765"/>
    <x v="3"/>
    <x v="3"/>
    <x v="0"/>
    <n v="59420.21"/>
    <n v="1"/>
    <n v="59420.21"/>
    <x v="319"/>
    <x v="0"/>
  </r>
  <r>
    <x v="766"/>
    <x v="3"/>
    <x v="3"/>
    <x v="4"/>
    <n v="10397.290000000001"/>
    <n v="1"/>
    <n v="10397.290000000001"/>
    <x v="79"/>
    <x v="1"/>
  </r>
  <r>
    <x v="767"/>
    <x v="3"/>
    <x v="3"/>
    <x v="0"/>
    <n v="25804.41"/>
    <n v="2"/>
    <n v="51608.82"/>
    <x v="196"/>
    <x v="2"/>
  </r>
  <r>
    <x v="768"/>
    <x v="3"/>
    <x v="3"/>
    <x v="0"/>
    <n v="49924.08"/>
    <n v="1"/>
    <n v="49924.08"/>
    <x v="167"/>
    <x v="0"/>
  </r>
  <r>
    <x v="769"/>
    <x v="2"/>
    <x v="2"/>
    <x v="5"/>
    <n v="5082.1099999999997"/>
    <n v="5"/>
    <n v="25410.55"/>
    <x v="14"/>
    <x v="0"/>
  </r>
  <r>
    <x v="770"/>
    <x v="5"/>
    <x v="5"/>
    <x v="2"/>
    <n v="47053.73"/>
    <n v="2"/>
    <n v="94107.46"/>
    <x v="85"/>
    <x v="3"/>
  </r>
  <r>
    <x v="771"/>
    <x v="1"/>
    <x v="1"/>
    <x v="5"/>
    <n v="7693.96"/>
    <n v="5"/>
    <n v="38469.800000000003"/>
    <x v="212"/>
    <x v="0"/>
  </r>
  <r>
    <x v="772"/>
    <x v="2"/>
    <x v="2"/>
    <x v="2"/>
    <n v="34353.51"/>
    <n v="2"/>
    <n v="68707.02"/>
    <x v="276"/>
    <x v="0"/>
  </r>
  <r>
    <x v="773"/>
    <x v="0"/>
    <x v="0"/>
    <x v="4"/>
    <n v="16410.97"/>
    <n v="2"/>
    <n v="32821.94"/>
    <x v="184"/>
    <x v="3"/>
  </r>
  <r>
    <x v="774"/>
    <x v="3"/>
    <x v="3"/>
    <x v="2"/>
    <n v="39828.83"/>
    <n v="2"/>
    <n v="79657.66"/>
    <x v="184"/>
    <x v="0"/>
  </r>
  <r>
    <x v="775"/>
    <x v="0"/>
    <x v="0"/>
    <x v="1"/>
    <n v="6048.25"/>
    <n v="1"/>
    <n v="6048.25"/>
    <x v="224"/>
    <x v="1"/>
  </r>
  <r>
    <x v="776"/>
    <x v="2"/>
    <x v="2"/>
    <x v="2"/>
    <n v="35518.46"/>
    <n v="3"/>
    <n v="106555.38"/>
    <x v="126"/>
    <x v="2"/>
  </r>
  <r>
    <x v="777"/>
    <x v="3"/>
    <x v="3"/>
    <x v="1"/>
    <n v="1215.6300000000001"/>
    <n v="4"/>
    <n v="4862.5200000000004"/>
    <x v="320"/>
    <x v="1"/>
  </r>
  <r>
    <x v="778"/>
    <x v="0"/>
    <x v="0"/>
    <x v="3"/>
    <n v="3802.2"/>
    <n v="2"/>
    <n v="7604.4"/>
    <x v="58"/>
    <x v="3"/>
  </r>
  <r>
    <x v="779"/>
    <x v="0"/>
    <x v="0"/>
    <x v="1"/>
    <n v="11553.45"/>
    <n v="3"/>
    <n v="34660.35"/>
    <x v="103"/>
    <x v="3"/>
  </r>
  <r>
    <x v="780"/>
    <x v="5"/>
    <x v="5"/>
    <x v="0"/>
    <n v="7105.13"/>
    <n v="2"/>
    <n v="14210.26"/>
    <x v="19"/>
    <x v="3"/>
  </r>
  <r>
    <x v="781"/>
    <x v="4"/>
    <x v="4"/>
    <x v="5"/>
    <n v="6705.31"/>
    <n v="2"/>
    <n v="13410.62"/>
    <x v="266"/>
    <x v="3"/>
  </r>
  <r>
    <x v="782"/>
    <x v="1"/>
    <x v="1"/>
    <x v="3"/>
    <n v="4668.25"/>
    <n v="2"/>
    <n v="9336.5"/>
    <x v="75"/>
    <x v="2"/>
  </r>
  <r>
    <x v="783"/>
    <x v="2"/>
    <x v="2"/>
    <x v="0"/>
    <n v="17583.22"/>
    <n v="3"/>
    <n v="52749.66"/>
    <x v="227"/>
    <x v="1"/>
  </r>
  <r>
    <x v="784"/>
    <x v="4"/>
    <x v="4"/>
    <x v="3"/>
    <n v="2647.82"/>
    <n v="3"/>
    <n v="7943.46"/>
    <x v="91"/>
    <x v="3"/>
  </r>
  <r>
    <x v="785"/>
    <x v="5"/>
    <x v="5"/>
    <x v="5"/>
    <n v="7430.08"/>
    <n v="3"/>
    <n v="22290.240000000002"/>
    <x v="268"/>
    <x v="2"/>
  </r>
  <r>
    <x v="786"/>
    <x v="0"/>
    <x v="0"/>
    <x v="3"/>
    <n v="4803.12"/>
    <n v="3"/>
    <n v="14409.36"/>
    <x v="318"/>
    <x v="2"/>
  </r>
  <r>
    <x v="787"/>
    <x v="5"/>
    <x v="5"/>
    <x v="2"/>
    <n v="7266.24"/>
    <n v="2"/>
    <n v="14532.48"/>
    <x v="321"/>
    <x v="2"/>
  </r>
  <r>
    <x v="788"/>
    <x v="0"/>
    <x v="0"/>
    <x v="5"/>
    <n v="2857.13"/>
    <n v="1"/>
    <n v="2857.13"/>
    <x v="135"/>
    <x v="0"/>
  </r>
  <r>
    <x v="789"/>
    <x v="2"/>
    <x v="2"/>
    <x v="0"/>
    <n v="52602.33"/>
    <n v="2"/>
    <n v="105204.66"/>
    <x v="207"/>
    <x v="1"/>
  </r>
  <r>
    <x v="790"/>
    <x v="3"/>
    <x v="3"/>
    <x v="5"/>
    <n v="1850.31"/>
    <n v="3"/>
    <n v="5550.93"/>
    <x v="152"/>
    <x v="0"/>
  </r>
  <r>
    <x v="791"/>
    <x v="1"/>
    <x v="1"/>
    <x v="3"/>
    <n v="1657.61"/>
    <n v="5"/>
    <n v="8288.0499999999993"/>
    <x v="63"/>
    <x v="3"/>
  </r>
  <r>
    <x v="792"/>
    <x v="5"/>
    <x v="5"/>
    <x v="0"/>
    <n v="2528.1999999999998"/>
    <n v="2"/>
    <n v="5056.3999999999996"/>
    <x v="322"/>
    <x v="0"/>
  </r>
  <r>
    <x v="793"/>
    <x v="3"/>
    <x v="3"/>
    <x v="2"/>
    <n v="8522.56"/>
    <n v="1"/>
    <n v="8522.56"/>
    <x v="87"/>
    <x v="0"/>
  </r>
  <r>
    <x v="794"/>
    <x v="3"/>
    <x v="3"/>
    <x v="4"/>
    <n v="11377.89"/>
    <n v="2"/>
    <n v="22755.78"/>
    <x v="165"/>
    <x v="0"/>
  </r>
  <r>
    <x v="795"/>
    <x v="5"/>
    <x v="5"/>
    <x v="3"/>
    <n v="3282.8"/>
    <n v="8"/>
    <n v="26262.400000000001"/>
    <x v="141"/>
    <x v="2"/>
  </r>
  <r>
    <x v="796"/>
    <x v="3"/>
    <x v="3"/>
    <x v="1"/>
    <n v="7892.27"/>
    <n v="2"/>
    <n v="15784.54"/>
    <x v="163"/>
    <x v="2"/>
  </r>
  <r>
    <x v="797"/>
    <x v="3"/>
    <x v="3"/>
    <x v="3"/>
    <n v="3902.88"/>
    <n v="2"/>
    <n v="7805.76"/>
    <x v="245"/>
    <x v="1"/>
  </r>
  <r>
    <x v="798"/>
    <x v="2"/>
    <x v="2"/>
    <x v="1"/>
    <n v="5158.79"/>
    <n v="5"/>
    <n v="25793.95"/>
    <x v="297"/>
    <x v="2"/>
  </r>
  <r>
    <x v="799"/>
    <x v="2"/>
    <x v="2"/>
    <x v="2"/>
    <n v="14401.05"/>
    <n v="3"/>
    <n v="43203.15"/>
    <x v="12"/>
    <x v="0"/>
  </r>
  <r>
    <x v="800"/>
    <x v="0"/>
    <x v="0"/>
    <x v="2"/>
    <n v="1763.45"/>
    <n v="3"/>
    <n v="5290.35"/>
    <x v="257"/>
    <x v="0"/>
  </r>
  <r>
    <x v="801"/>
    <x v="5"/>
    <x v="5"/>
    <x v="2"/>
    <n v="11124.86"/>
    <n v="3"/>
    <n v="33374.58"/>
    <x v="118"/>
    <x v="1"/>
  </r>
  <r>
    <x v="802"/>
    <x v="4"/>
    <x v="4"/>
    <x v="0"/>
    <n v="23979.18"/>
    <n v="3"/>
    <n v="71937.539999999994"/>
    <x v="274"/>
    <x v="3"/>
  </r>
  <r>
    <x v="803"/>
    <x v="2"/>
    <x v="2"/>
    <x v="2"/>
    <n v="9732.14"/>
    <n v="3"/>
    <n v="29196.42"/>
    <x v="220"/>
    <x v="2"/>
  </r>
  <r>
    <x v="804"/>
    <x v="3"/>
    <x v="3"/>
    <x v="2"/>
    <n v="1987.08"/>
    <n v="2"/>
    <n v="3974.16"/>
    <x v="323"/>
    <x v="3"/>
  </r>
  <r>
    <x v="805"/>
    <x v="3"/>
    <x v="3"/>
    <x v="2"/>
    <n v="8714.93"/>
    <n v="1"/>
    <n v="8714.93"/>
    <x v="188"/>
    <x v="3"/>
  </r>
  <r>
    <x v="806"/>
    <x v="2"/>
    <x v="2"/>
    <x v="0"/>
    <n v="50224.59"/>
    <n v="2"/>
    <n v="100449.18"/>
    <x v="146"/>
    <x v="1"/>
  </r>
  <r>
    <x v="807"/>
    <x v="3"/>
    <x v="3"/>
    <x v="1"/>
    <n v="7666.15"/>
    <n v="2"/>
    <n v="15332.3"/>
    <x v="24"/>
    <x v="0"/>
  </r>
  <r>
    <x v="808"/>
    <x v="1"/>
    <x v="1"/>
    <x v="3"/>
    <n v="4681.63"/>
    <n v="8"/>
    <n v="37453.040000000001"/>
    <x v="70"/>
    <x v="3"/>
  </r>
  <r>
    <x v="809"/>
    <x v="4"/>
    <x v="4"/>
    <x v="0"/>
    <n v="60024.09"/>
    <n v="2"/>
    <n v="120048.18"/>
    <x v="257"/>
    <x v="3"/>
  </r>
  <r>
    <x v="810"/>
    <x v="3"/>
    <x v="3"/>
    <x v="3"/>
    <n v="2860.39"/>
    <n v="10"/>
    <n v="28603.9"/>
    <x v="75"/>
    <x v="3"/>
  </r>
  <r>
    <x v="811"/>
    <x v="3"/>
    <x v="3"/>
    <x v="1"/>
    <n v="1909.41"/>
    <n v="3"/>
    <n v="5728.23"/>
    <x v="205"/>
    <x v="0"/>
  </r>
  <r>
    <x v="812"/>
    <x v="4"/>
    <x v="4"/>
    <x v="5"/>
    <n v="4556.17"/>
    <n v="3"/>
    <n v="13668.51"/>
    <x v="196"/>
    <x v="2"/>
  </r>
  <r>
    <x v="813"/>
    <x v="2"/>
    <x v="2"/>
    <x v="3"/>
    <n v="354.9"/>
    <n v="10"/>
    <n v="3549"/>
    <x v="24"/>
    <x v="3"/>
  </r>
  <r>
    <x v="814"/>
    <x v="3"/>
    <x v="3"/>
    <x v="5"/>
    <n v="3503.99"/>
    <n v="3"/>
    <n v="10511.97"/>
    <x v="324"/>
    <x v="3"/>
  </r>
  <r>
    <x v="815"/>
    <x v="4"/>
    <x v="4"/>
    <x v="1"/>
    <n v="4866.03"/>
    <n v="2"/>
    <n v="9732.06"/>
    <x v="26"/>
    <x v="2"/>
  </r>
  <r>
    <x v="816"/>
    <x v="4"/>
    <x v="4"/>
    <x v="5"/>
    <n v="3479.73"/>
    <n v="2"/>
    <n v="6959.46"/>
    <x v="269"/>
    <x v="3"/>
  </r>
  <r>
    <x v="817"/>
    <x v="1"/>
    <x v="1"/>
    <x v="1"/>
    <n v="3573.96"/>
    <n v="5"/>
    <n v="17869.8"/>
    <x v="76"/>
    <x v="2"/>
  </r>
  <r>
    <x v="818"/>
    <x v="2"/>
    <x v="2"/>
    <x v="1"/>
    <n v="8324.2199999999993"/>
    <n v="4"/>
    <n v="33296.879999999997"/>
    <x v="3"/>
    <x v="1"/>
  </r>
  <r>
    <x v="819"/>
    <x v="5"/>
    <x v="5"/>
    <x v="2"/>
    <n v="42206.28"/>
    <n v="1"/>
    <n v="42206.28"/>
    <x v="170"/>
    <x v="0"/>
  </r>
  <r>
    <x v="820"/>
    <x v="3"/>
    <x v="3"/>
    <x v="4"/>
    <n v="15439.78"/>
    <n v="2"/>
    <n v="30879.56"/>
    <x v="325"/>
    <x v="3"/>
  </r>
  <r>
    <x v="821"/>
    <x v="2"/>
    <x v="2"/>
    <x v="1"/>
    <n v="7644.7"/>
    <n v="2"/>
    <n v="15289.4"/>
    <x v="26"/>
    <x v="2"/>
  </r>
  <r>
    <x v="822"/>
    <x v="5"/>
    <x v="5"/>
    <x v="1"/>
    <n v="6598.63"/>
    <n v="4"/>
    <n v="26394.52"/>
    <x v="170"/>
    <x v="3"/>
  </r>
  <r>
    <x v="823"/>
    <x v="2"/>
    <x v="2"/>
    <x v="2"/>
    <n v="2523.12"/>
    <n v="1"/>
    <n v="2523.12"/>
    <x v="211"/>
    <x v="0"/>
  </r>
  <r>
    <x v="824"/>
    <x v="0"/>
    <x v="0"/>
    <x v="5"/>
    <n v="5811.18"/>
    <n v="4"/>
    <n v="23244.720000000001"/>
    <x v="203"/>
    <x v="0"/>
  </r>
  <r>
    <x v="825"/>
    <x v="3"/>
    <x v="3"/>
    <x v="0"/>
    <n v="41237.730000000003"/>
    <n v="3"/>
    <n v="123713.19"/>
    <x v="293"/>
    <x v="0"/>
  </r>
  <r>
    <x v="826"/>
    <x v="2"/>
    <x v="2"/>
    <x v="1"/>
    <n v="3467.67"/>
    <n v="2"/>
    <n v="6935.34"/>
    <x v="314"/>
    <x v="1"/>
  </r>
  <r>
    <x v="827"/>
    <x v="5"/>
    <x v="5"/>
    <x v="1"/>
    <n v="4135.75"/>
    <n v="1"/>
    <n v="4135.75"/>
    <x v="294"/>
    <x v="3"/>
  </r>
  <r>
    <x v="828"/>
    <x v="0"/>
    <x v="0"/>
    <x v="4"/>
    <n v="18731.45"/>
    <n v="3"/>
    <n v="56194.35"/>
    <x v="147"/>
    <x v="0"/>
  </r>
  <r>
    <x v="829"/>
    <x v="5"/>
    <x v="5"/>
    <x v="1"/>
    <n v="7605.04"/>
    <n v="2"/>
    <n v="15210.08"/>
    <x v="191"/>
    <x v="0"/>
  </r>
  <r>
    <x v="830"/>
    <x v="2"/>
    <x v="2"/>
    <x v="1"/>
    <n v="5868.18"/>
    <n v="5"/>
    <n v="29340.9"/>
    <x v="252"/>
    <x v="3"/>
  </r>
  <r>
    <x v="831"/>
    <x v="1"/>
    <x v="1"/>
    <x v="4"/>
    <n v="12532.16"/>
    <n v="4"/>
    <n v="50128.639999999999"/>
    <x v="272"/>
    <x v="1"/>
  </r>
  <r>
    <x v="832"/>
    <x v="5"/>
    <x v="5"/>
    <x v="1"/>
    <n v="5140.79"/>
    <n v="5"/>
    <n v="25703.95"/>
    <x v="246"/>
    <x v="1"/>
  </r>
  <r>
    <x v="833"/>
    <x v="2"/>
    <x v="2"/>
    <x v="0"/>
    <n v="35687.519999999997"/>
    <n v="2"/>
    <n v="71375.039999999994"/>
    <x v="287"/>
    <x v="0"/>
  </r>
  <r>
    <x v="834"/>
    <x v="2"/>
    <x v="2"/>
    <x v="0"/>
    <n v="22340.95"/>
    <n v="3"/>
    <n v="67022.850000000006"/>
    <x v="310"/>
    <x v="2"/>
  </r>
  <r>
    <x v="835"/>
    <x v="1"/>
    <x v="1"/>
    <x v="0"/>
    <n v="33437.11"/>
    <n v="1"/>
    <n v="33437.11"/>
    <x v="67"/>
    <x v="2"/>
  </r>
  <r>
    <x v="836"/>
    <x v="0"/>
    <x v="0"/>
    <x v="0"/>
    <n v="51670.94"/>
    <n v="1"/>
    <n v="51670.94"/>
    <x v="21"/>
    <x v="2"/>
  </r>
  <r>
    <x v="837"/>
    <x v="4"/>
    <x v="4"/>
    <x v="1"/>
    <n v="767.32"/>
    <n v="1"/>
    <n v="767.32"/>
    <x v="208"/>
    <x v="3"/>
  </r>
  <r>
    <x v="838"/>
    <x v="1"/>
    <x v="1"/>
    <x v="5"/>
    <n v="6380.72"/>
    <n v="4"/>
    <n v="25522.880000000001"/>
    <x v="326"/>
    <x v="1"/>
  </r>
  <r>
    <x v="839"/>
    <x v="1"/>
    <x v="1"/>
    <x v="5"/>
    <n v="2335.54"/>
    <n v="3"/>
    <n v="7006.62"/>
    <x v="215"/>
    <x v="3"/>
  </r>
  <r>
    <x v="840"/>
    <x v="3"/>
    <x v="3"/>
    <x v="0"/>
    <n v="51445.94"/>
    <n v="1"/>
    <n v="51445.94"/>
    <x v="75"/>
    <x v="0"/>
  </r>
  <r>
    <x v="841"/>
    <x v="0"/>
    <x v="0"/>
    <x v="1"/>
    <n v="7819.89"/>
    <n v="2"/>
    <n v="15639.78"/>
    <x v="223"/>
    <x v="1"/>
  </r>
  <r>
    <x v="842"/>
    <x v="1"/>
    <x v="1"/>
    <x v="0"/>
    <n v="49225"/>
    <n v="2"/>
    <n v="98450"/>
    <x v="228"/>
    <x v="1"/>
  </r>
  <r>
    <x v="843"/>
    <x v="1"/>
    <x v="1"/>
    <x v="4"/>
    <n v="12280.14"/>
    <n v="1"/>
    <n v="12280.14"/>
    <x v="108"/>
    <x v="3"/>
  </r>
  <r>
    <x v="844"/>
    <x v="3"/>
    <x v="3"/>
    <x v="0"/>
    <n v="71965.36"/>
    <n v="2"/>
    <n v="143930.72"/>
    <x v="236"/>
    <x v="3"/>
  </r>
  <r>
    <x v="845"/>
    <x v="4"/>
    <x v="4"/>
    <x v="2"/>
    <n v="25908.86"/>
    <n v="2"/>
    <n v="51817.72"/>
    <x v="81"/>
    <x v="2"/>
  </r>
  <r>
    <x v="846"/>
    <x v="5"/>
    <x v="5"/>
    <x v="3"/>
    <n v="3674.98"/>
    <n v="3"/>
    <n v="11024.94"/>
    <x v="205"/>
    <x v="3"/>
  </r>
  <r>
    <x v="847"/>
    <x v="2"/>
    <x v="2"/>
    <x v="2"/>
    <n v="35567.019999999997"/>
    <n v="1"/>
    <n v="35567.019999999997"/>
    <x v="216"/>
    <x v="3"/>
  </r>
  <r>
    <x v="848"/>
    <x v="3"/>
    <x v="3"/>
    <x v="3"/>
    <n v="1219.52"/>
    <n v="4"/>
    <n v="4878.08"/>
    <x v="110"/>
    <x v="0"/>
  </r>
  <r>
    <x v="849"/>
    <x v="4"/>
    <x v="4"/>
    <x v="5"/>
    <n v="2338.12"/>
    <n v="3"/>
    <n v="7014.36"/>
    <x v="89"/>
    <x v="1"/>
  </r>
  <r>
    <x v="850"/>
    <x v="3"/>
    <x v="3"/>
    <x v="3"/>
    <n v="2148.88"/>
    <n v="3"/>
    <n v="6446.64"/>
    <x v="127"/>
    <x v="1"/>
  </r>
  <r>
    <x v="851"/>
    <x v="3"/>
    <x v="3"/>
    <x v="4"/>
    <n v="5770.65"/>
    <n v="2"/>
    <n v="11541.3"/>
    <x v="196"/>
    <x v="1"/>
  </r>
  <r>
    <x v="852"/>
    <x v="0"/>
    <x v="0"/>
    <x v="1"/>
    <n v="4590.8900000000003"/>
    <n v="3"/>
    <n v="13772.67"/>
    <x v="125"/>
    <x v="0"/>
  </r>
  <r>
    <x v="853"/>
    <x v="4"/>
    <x v="4"/>
    <x v="5"/>
    <n v="3188.59"/>
    <n v="1"/>
    <n v="3188.59"/>
    <x v="158"/>
    <x v="1"/>
  </r>
  <r>
    <x v="854"/>
    <x v="3"/>
    <x v="3"/>
    <x v="5"/>
    <n v="4870.53"/>
    <n v="3"/>
    <n v="14611.59"/>
    <x v="283"/>
    <x v="0"/>
  </r>
  <r>
    <x v="855"/>
    <x v="1"/>
    <x v="1"/>
    <x v="4"/>
    <n v="4631.83"/>
    <n v="1"/>
    <n v="4631.83"/>
    <x v="327"/>
    <x v="0"/>
  </r>
  <r>
    <x v="856"/>
    <x v="0"/>
    <x v="0"/>
    <x v="3"/>
    <n v="4031.24"/>
    <n v="2"/>
    <n v="8062.48"/>
    <x v="19"/>
    <x v="2"/>
  </r>
  <r>
    <x v="857"/>
    <x v="0"/>
    <x v="0"/>
    <x v="3"/>
    <n v="2215.8000000000002"/>
    <n v="3"/>
    <n v="6647.4"/>
    <x v="229"/>
    <x v="1"/>
  </r>
  <r>
    <x v="858"/>
    <x v="5"/>
    <x v="5"/>
    <x v="3"/>
    <n v="3545.91"/>
    <n v="3"/>
    <n v="10637.73"/>
    <x v="123"/>
    <x v="0"/>
  </r>
  <r>
    <x v="859"/>
    <x v="1"/>
    <x v="1"/>
    <x v="3"/>
    <n v="453.14"/>
    <n v="1"/>
    <n v="453.14"/>
    <x v="177"/>
    <x v="1"/>
  </r>
  <r>
    <x v="860"/>
    <x v="0"/>
    <x v="0"/>
    <x v="2"/>
    <n v="24028.3"/>
    <n v="3"/>
    <n v="72084.899999999994"/>
    <x v="270"/>
    <x v="1"/>
  </r>
  <r>
    <x v="861"/>
    <x v="0"/>
    <x v="0"/>
    <x v="4"/>
    <n v="855.92"/>
    <n v="2"/>
    <n v="1711.84"/>
    <x v="17"/>
    <x v="2"/>
  </r>
  <r>
    <x v="862"/>
    <x v="0"/>
    <x v="0"/>
    <x v="4"/>
    <n v="13615.43"/>
    <n v="4"/>
    <n v="54461.72"/>
    <x v="33"/>
    <x v="1"/>
  </r>
  <r>
    <x v="863"/>
    <x v="1"/>
    <x v="1"/>
    <x v="1"/>
    <n v="4321.41"/>
    <n v="5"/>
    <n v="21607.05"/>
    <x v="328"/>
    <x v="3"/>
  </r>
  <r>
    <x v="864"/>
    <x v="3"/>
    <x v="3"/>
    <x v="2"/>
    <n v="47513.39"/>
    <n v="3"/>
    <n v="142540.17000000001"/>
    <x v="110"/>
    <x v="1"/>
  </r>
  <r>
    <x v="865"/>
    <x v="4"/>
    <x v="4"/>
    <x v="5"/>
    <n v="2660.58"/>
    <n v="5"/>
    <n v="13302.9"/>
    <x v="6"/>
    <x v="3"/>
  </r>
  <r>
    <x v="866"/>
    <x v="0"/>
    <x v="0"/>
    <x v="4"/>
    <n v="11406.98"/>
    <n v="1"/>
    <n v="11406.98"/>
    <x v="321"/>
    <x v="1"/>
  </r>
  <r>
    <x v="867"/>
    <x v="0"/>
    <x v="0"/>
    <x v="0"/>
    <n v="19898.16"/>
    <n v="2"/>
    <n v="39796.32"/>
    <x v="93"/>
    <x v="2"/>
  </r>
  <r>
    <x v="868"/>
    <x v="3"/>
    <x v="3"/>
    <x v="1"/>
    <n v="7555.32"/>
    <n v="4"/>
    <n v="30221.279999999999"/>
    <x v="271"/>
    <x v="0"/>
  </r>
  <r>
    <x v="869"/>
    <x v="3"/>
    <x v="3"/>
    <x v="5"/>
    <n v="3789.63"/>
    <n v="3"/>
    <n v="11368.89"/>
    <x v="274"/>
    <x v="3"/>
  </r>
  <r>
    <x v="870"/>
    <x v="0"/>
    <x v="0"/>
    <x v="3"/>
    <n v="1884.61"/>
    <n v="1"/>
    <n v="1884.61"/>
    <x v="31"/>
    <x v="2"/>
  </r>
  <r>
    <x v="871"/>
    <x v="3"/>
    <x v="3"/>
    <x v="1"/>
    <n v="2683.17"/>
    <n v="3"/>
    <n v="8049.51"/>
    <x v="94"/>
    <x v="1"/>
  </r>
  <r>
    <x v="872"/>
    <x v="4"/>
    <x v="4"/>
    <x v="4"/>
    <n v="2496.9699999999998"/>
    <n v="4"/>
    <n v="9987.8799999999992"/>
    <x v="267"/>
    <x v="3"/>
  </r>
  <r>
    <x v="873"/>
    <x v="5"/>
    <x v="5"/>
    <x v="4"/>
    <n v="2661.62"/>
    <n v="4"/>
    <n v="10646.48"/>
    <x v="123"/>
    <x v="3"/>
  </r>
  <r>
    <x v="874"/>
    <x v="2"/>
    <x v="2"/>
    <x v="4"/>
    <n v="19981.09"/>
    <n v="2"/>
    <n v="39962.18"/>
    <x v="24"/>
    <x v="3"/>
  </r>
  <r>
    <x v="875"/>
    <x v="4"/>
    <x v="4"/>
    <x v="5"/>
    <n v="3357.25"/>
    <n v="2"/>
    <n v="6714.5"/>
    <x v="50"/>
    <x v="3"/>
  </r>
  <r>
    <x v="876"/>
    <x v="5"/>
    <x v="5"/>
    <x v="3"/>
    <n v="59.55"/>
    <n v="4"/>
    <n v="238.2"/>
    <x v="111"/>
    <x v="3"/>
  </r>
  <r>
    <x v="877"/>
    <x v="5"/>
    <x v="5"/>
    <x v="3"/>
    <n v="4767"/>
    <n v="3"/>
    <n v="14301"/>
    <x v="274"/>
    <x v="1"/>
  </r>
  <r>
    <x v="878"/>
    <x v="2"/>
    <x v="2"/>
    <x v="1"/>
    <n v="533.77"/>
    <n v="2"/>
    <n v="1067.54"/>
    <x v="329"/>
    <x v="2"/>
  </r>
  <r>
    <x v="879"/>
    <x v="2"/>
    <x v="2"/>
    <x v="1"/>
    <n v="5197.46"/>
    <n v="2"/>
    <n v="10394.92"/>
    <x v="15"/>
    <x v="3"/>
  </r>
  <r>
    <x v="880"/>
    <x v="1"/>
    <x v="1"/>
    <x v="1"/>
    <n v="8694.49"/>
    <n v="3"/>
    <n v="26083.47"/>
    <x v="11"/>
    <x v="3"/>
  </r>
  <r>
    <x v="881"/>
    <x v="2"/>
    <x v="2"/>
    <x v="2"/>
    <n v="45815.360000000001"/>
    <n v="1"/>
    <n v="45815.360000000001"/>
    <x v="14"/>
    <x v="3"/>
  </r>
  <r>
    <x v="882"/>
    <x v="4"/>
    <x v="4"/>
    <x v="3"/>
    <n v="3578.79"/>
    <n v="3"/>
    <n v="10736.37"/>
    <x v="240"/>
    <x v="2"/>
  </r>
  <r>
    <x v="883"/>
    <x v="1"/>
    <x v="1"/>
    <x v="5"/>
    <n v="3762.64"/>
    <n v="2"/>
    <n v="7525.28"/>
    <x v="194"/>
    <x v="1"/>
  </r>
  <r>
    <x v="884"/>
    <x v="3"/>
    <x v="3"/>
    <x v="3"/>
    <n v="4873.49"/>
    <n v="2"/>
    <n v="9746.98"/>
    <x v="37"/>
    <x v="2"/>
  </r>
  <r>
    <x v="885"/>
    <x v="5"/>
    <x v="5"/>
    <x v="3"/>
    <n v="244.63"/>
    <n v="9"/>
    <n v="2201.67"/>
    <x v="292"/>
    <x v="3"/>
  </r>
  <r>
    <x v="886"/>
    <x v="5"/>
    <x v="5"/>
    <x v="0"/>
    <n v="74027.399999999994"/>
    <n v="3"/>
    <n v="222082.2"/>
    <x v="328"/>
    <x v="3"/>
  </r>
  <r>
    <x v="887"/>
    <x v="3"/>
    <x v="3"/>
    <x v="0"/>
    <n v="63824.85"/>
    <n v="3"/>
    <n v="191474.55"/>
    <x v="330"/>
    <x v="0"/>
  </r>
  <r>
    <x v="888"/>
    <x v="3"/>
    <x v="3"/>
    <x v="5"/>
    <n v="7438.55"/>
    <n v="3"/>
    <n v="22315.65"/>
    <x v="275"/>
    <x v="3"/>
  </r>
  <r>
    <x v="889"/>
    <x v="2"/>
    <x v="2"/>
    <x v="1"/>
    <n v="3280.84"/>
    <n v="1"/>
    <n v="3280.84"/>
    <x v="270"/>
    <x v="3"/>
  </r>
  <r>
    <x v="890"/>
    <x v="5"/>
    <x v="5"/>
    <x v="3"/>
    <n v="755.17"/>
    <n v="10"/>
    <n v="7551.7"/>
    <x v="116"/>
    <x v="3"/>
  </r>
  <r>
    <x v="891"/>
    <x v="4"/>
    <x v="4"/>
    <x v="5"/>
    <n v="5340.19"/>
    <n v="3"/>
    <n v="16020.57"/>
    <x v="213"/>
    <x v="0"/>
  </r>
  <r>
    <x v="892"/>
    <x v="5"/>
    <x v="5"/>
    <x v="1"/>
    <n v="6335.56"/>
    <n v="4"/>
    <n v="25342.240000000002"/>
    <x v="49"/>
    <x v="2"/>
  </r>
  <r>
    <x v="893"/>
    <x v="3"/>
    <x v="3"/>
    <x v="0"/>
    <n v="39619.06"/>
    <n v="2"/>
    <n v="79238.12"/>
    <x v="292"/>
    <x v="2"/>
  </r>
  <r>
    <x v="894"/>
    <x v="0"/>
    <x v="0"/>
    <x v="3"/>
    <n v="4626.8599999999997"/>
    <n v="5"/>
    <n v="23134.3"/>
    <x v="89"/>
    <x v="0"/>
  </r>
  <r>
    <x v="895"/>
    <x v="4"/>
    <x v="4"/>
    <x v="0"/>
    <n v="46810"/>
    <n v="2"/>
    <n v="93620"/>
    <x v="331"/>
    <x v="3"/>
  </r>
  <r>
    <x v="896"/>
    <x v="5"/>
    <x v="5"/>
    <x v="2"/>
    <n v="16242.13"/>
    <n v="1"/>
    <n v="16242.13"/>
    <x v="213"/>
    <x v="0"/>
  </r>
  <r>
    <x v="897"/>
    <x v="3"/>
    <x v="3"/>
    <x v="3"/>
    <n v="2030.33"/>
    <n v="6"/>
    <n v="12181.98"/>
    <x v="283"/>
    <x v="3"/>
  </r>
  <r>
    <x v="898"/>
    <x v="3"/>
    <x v="3"/>
    <x v="0"/>
    <n v="10705.39"/>
    <n v="3"/>
    <n v="32116.17"/>
    <x v="283"/>
    <x v="2"/>
  </r>
  <r>
    <x v="899"/>
    <x v="1"/>
    <x v="1"/>
    <x v="0"/>
    <n v="15069.7"/>
    <n v="1"/>
    <n v="15069.7"/>
    <x v="207"/>
    <x v="1"/>
  </r>
  <r>
    <x v="900"/>
    <x v="1"/>
    <x v="1"/>
    <x v="2"/>
    <n v="8024.15"/>
    <n v="1"/>
    <n v="8024.15"/>
    <x v="222"/>
    <x v="1"/>
  </r>
  <r>
    <x v="901"/>
    <x v="5"/>
    <x v="5"/>
    <x v="0"/>
    <n v="60923.62"/>
    <n v="3"/>
    <n v="182770.86"/>
    <x v="29"/>
    <x v="0"/>
  </r>
  <r>
    <x v="902"/>
    <x v="3"/>
    <x v="3"/>
    <x v="5"/>
    <n v="5668.5"/>
    <n v="3"/>
    <n v="17005.5"/>
    <x v="86"/>
    <x v="3"/>
  </r>
  <r>
    <x v="903"/>
    <x v="1"/>
    <x v="1"/>
    <x v="0"/>
    <n v="40151.599999999999"/>
    <n v="3"/>
    <n v="120454.8"/>
    <x v="304"/>
    <x v="0"/>
  </r>
  <r>
    <x v="904"/>
    <x v="4"/>
    <x v="4"/>
    <x v="2"/>
    <n v="19344.02"/>
    <n v="2"/>
    <n v="38688.04"/>
    <x v="5"/>
    <x v="1"/>
  </r>
  <r>
    <x v="905"/>
    <x v="2"/>
    <x v="2"/>
    <x v="1"/>
    <n v="8121.38"/>
    <n v="4"/>
    <n v="32485.52"/>
    <x v="244"/>
    <x v="2"/>
  </r>
  <r>
    <x v="906"/>
    <x v="1"/>
    <x v="1"/>
    <x v="1"/>
    <n v="9810.99"/>
    <n v="5"/>
    <n v="49054.95"/>
    <x v="24"/>
    <x v="0"/>
  </r>
  <r>
    <x v="907"/>
    <x v="3"/>
    <x v="3"/>
    <x v="0"/>
    <n v="66187.5"/>
    <n v="2"/>
    <n v="132375"/>
    <x v="36"/>
    <x v="3"/>
  </r>
  <r>
    <x v="908"/>
    <x v="5"/>
    <x v="5"/>
    <x v="5"/>
    <n v="4421.43"/>
    <n v="2"/>
    <n v="8842.86"/>
    <x v="332"/>
    <x v="0"/>
  </r>
  <r>
    <x v="909"/>
    <x v="5"/>
    <x v="5"/>
    <x v="4"/>
    <n v="16451.740000000002"/>
    <n v="3"/>
    <n v="49355.22"/>
    <x v="29"/>
    <x v="2"/>
  </r>
  <r>
    <x v="910"/>
    <x v="0"/>
    <x v="0"/>
    <x v="0"/>
    <n v="38738.9"/>
    <n v="1"/>
    <n v="38738.9"/>
    <x v="168"/>
    <x v="0"/>
  </r>
  <r>
    <x v="911"/>
    <x v="0"/>
    <x v="0"/>
    <x v="0"/>
    <n v="36010.129999999997"/>
    <n v="2"/>
    <n v="72020.259999999995"/>
    <x v="244"/>
    <x v="3"/>
  </r>
  <r>
    <x v="912"/>
    <x v="4"/>
    <x v="4"/>
    <x v="4"/>
    <n v="17349.009999999998"/>
    <n v="3"/>
    <n v="52047.03"/>
    <x v="32"/>
    <x v="2"/>
  </r>
  <r>
    <x v="913"/>
    <x v="4"/>
    <x v="4"/>
    <x v="1"/>
    <n v="4820.58"/>
    <n v="1"/>
    <n v="4820.58"/>
    <x v="14"/>
    <x v="2"/>
  </r>
  <r>
    <x v="914"/>
    <x v="4"/>
    <x v="4"/>
    <x v="0"/>
    <n v="30176.720000000001"/>
    <n v="3"/>
    <n v="90530.16"/>
    <x v="318"/>
    <x v="1"/>
  </r>
  <r>
    <x v="915"/>
    <x v="4"/>
    <x v="4"/>
    <x v="0"/>
    <n v="23424.42"/>
    <n v="2"/>
    <n v="46848.84"/>
    <x v="104"/>
    <x v="3"/>
  </r>
  <r>
    <x v="916"/>
    <x v="3"/>
    <x v="3"/>
    <x v="2"/>
    <n v="26416.38"/>
    <n v="1"/>
    <n v="26416.38"/>
    <x v="282"/>
    <x v="3"/>
  </r>
  <r>
    <x v="917"/>
    <x v="3"/>
    <x v="3"/>
    <x v="2"/>
    <n v="27697.65"/>
    <n v="1"/>
    <n v="27697.65"/>
    <x v="333"/>
    <x v="0"/>
  </r>
  <r>
    <x v="918"/>
    <x v="5"/>
    <x v="5"/>
    <x v="2"/>
    <n v="33362.6"/>
    <n v="3"/>
    <n v="100087.8"/>
    <x v="2"/>
    <x v="3"/>
  </r>
  <r>
    <x v="919"/>
    <x v="1"/>
    <x v="1"/>
    <x v="4"/>
    <n v="8780.9"/>
    <n v="4"/>
    <n v="35123.599999999999"/>
    <x v="297"/>
    <x v="0"/>
  </r>
  <r>
    <x v="920"/>
    <x v="3"/>
    <x v="3"/>
    <x v="1"/>
    <n v="2848.7"/>
    <n v="4"/>
    <n v="11394.8"/>
    <x v="334"/>
    <x v="0"/>
  </r>
  <r>
    <x v="921"/>
    <x v="0"/>
    <x v="0"/>
    <x v="3"/>
    <n v="4340.87"/>
    <n v="5"/>
    <n v="21704.35"/>
    <x v="225"/>
    <x v="3"/>
  </r>
  <r>
    <x v="922"/>
    <x v="2"/>
    <x v="2"/>
    <x v="1"/>
    <n v="4348.21"/>
    <n v="4"/>
    <n v="17392.84"/>
    <x v="69"/>
    <x v="3"/>
  </r>
  <r>
    <x v="923"/>
    <x v="1"/>
    <x v="1"/>
    <x v="3"/>
    <n v="4618.57"/>
    <n v="5"/>
    <n v="23092.85"/>
    <x v="108"/>
    <x v="2"/>
  </r>
  <r>
    <x v="924"/>
    <x v="3"/>
    <x v="3"/>
    <x v="3"/>
    <n v="1076.4000000000001"/>
    <n v="4"/>
    <n v="4305.6000000000004"/>
    <x v="252"/>
    <x v="3"/>
  </r>
  <r>
    <x v="925"/>
    <x v="5"/>
    <x v="5"/>
    <x v="0"/>
    <n v="42356.26"/>
    <n v="1"/>
    <n v="42356.26"/>
    <x v="327"/>
    <x v="2"/>
  </r>
  <r>
    <x v="926"/>
    <x v="3"/>
    <x v="3"/>
    <x v="3"/>
    <n v="2706.24"/>
    <n v="3"/>
    <n v="8118.72"/>
    <x v="205"/>
    <x v="2"/>
  </r>
  <r>
    <x v="927"/>
    <x v="0"/>
    <x v="0"/>
    <x v="2"/>
    <n v="41603.74"/>
    <n v="3"/>
    <n v="124811.22"/>
    <x v="104"/>
    <x v="2"/>
  </r>
  <r>
    <x v="928"/>
    <x v="2"/>
    <x v="2"/>
    <x v="0"/>
    <n v="11102.77"/>
    <n v="2"/>
    <n v="22205.54"/>
    <x v="113"/>
    <x v="1"/>
  </r>
  <r>
    <x v="929"/>
    <x v="0"/>
    <x v="0"/>
    <x v="1"/>
    <n v="10946.26"/>
    <n v="1"/>
    <n v="10946.26"/>
    <x v="244"/>
    <x v="2"/>
  </r>
  <r>
    <x v="930"/>
    <x v="5"/>
    <x v="5"/>
    <x v="2"/>
    <n v="27039.98"/>
    <n v="3"/>
    <n v="81119.94"/>
    <x v="92"/>
    <x v="2"/>
  </r>
  <r>
    <x v="931"/>
    <x v="5"/>
    <x v="5"/>
    <x v="2"/>
    <n v="29719.360000000001"/>
    <n v="1"/>
    <n v="29719.360000000001"/>
    <x v="105"/>
    <x v="3"/>
  </r>
  <r>
    <x v="932"/>
    <x v="1"/>
    <x v="1"/>
    <x v="5"/>
    <n v="4130.3100000000004"/>
    <n v="3"/>
    <n v="12390.93"/>
    <x v="161"/>
    <x v="2"/>
  </r>
  <r>
    <x v="933"/>
    <x v="0"/>
    <x v="0"/>
    <x v="5"/>
    <n v="384.6"/>
    <n v="1"/>
    <n v="384.6"/>
    <x v="311"/>
    <x v="0"/>
  </r>
  <r>
    <x v="934"/>
    <x v="0"/>
    <x v="0"/>
    <x v="2"/>
    <n v="25357.439999999999"/>
    <n v="2"/>
    <n v="50714.879999999997"/>
    <x v="66"/>
    <x v="2"/>
  </r>
  <r>
    <x v="935"/>
    <x v="3"/>
    <x v="3"/>
    <x v="0"/>
    <n v="20355.38"/>
    <n v="2"/>
    <n v="40710.76"/>
    <x v="286"/>
    <x v="1"/>
  </r>
  <r>
    <x v="936"/>
    <x v="4"/>
    <x v="4"/>
    <x v="1"/>
    <n v="4309.45"/>
    <n v="5"/>
    <n v="21547.25"/>
    <x v="178"/>
    <x v="1"/>
  </r>
  <r>
    <x v="937"/>
    <x v="3"/>
    <x v="3"/>
    <x v="2"/>
    <n v="32805.980000000003"/>
    <n v="3"/>
    <n v="98417.94"/>
    <x v="47"/>
    <x v="3"/>
  </r>
  <r>
    <x v="938"/>
    <x v="4"/>
    <x v="4"/>
    <x v="3"/>
    <n v="2513.6"/>
    <n v="9"/>
    <n v="22622.400000000001"/>
    <x v="5"/>
    <x v="3"/>
  </r>
  <r>
    <x v="939"/>
    <x v="3"/>
    <x v="3"/>
    <x v="0"/>
    <n v="7716.79"/>
    <n v="1"/>
    <n v="7716.79"/>
    <x v="335"/>
    <x v="3"/>
  </r>
  <r>
    <x v="940"/>
    <x v="5"/>
    <x v="5"/>
    <x v="3"/>
    <n v="411.55"/>
    <n v="1"/>
    <n v="411.55"/>
    <x v="218"/>
    <x v="0"/>
  </r>
  <r>
    <x v="941"/>
    <x v="0"/>
    <x v="0"/>
    <x v="1"/>
    <n v="2472.1999999999998"/>
    <n v="5"/>
    <n v="12361"/>
    <x v="332"/>
    <x v="3"/>
  </r>
  <r>
    <x v="942"/>
    <x v="3"/>
    <x v="3"/>
    <x v="3"/>
    <n v="994.88"/>
    <n v="10"/>
    <n v="9948.7999999999993"/>
    <x v="176"/>
    <x v="0"/>
  </r>
  <r>
    <x v="943"/>
    <x v="1"/>
    <x v="1"/>
    <x v="0"/>
    <n v="45935.92"/>
    <n v="1"/>
    <n v="45935.92"/>
    <x v="88"/>
    <x v="3"/>
  </r>
  <r>
    <x v="944"/>
    <x v="1"/>
    <x v="1"/>
    <x v="5"/>
    <n v="1504.73"/>
    <n v="1"/>
    <n v="1504.73"/>
    <x v="243"/>
    <x v="3"/>
  </r>
  <r>
    <x v="945"/>
    <x v="5"/>
    <x v="5"/>
    <x v="4"/>
    <n v="17669.87"/>
    <n v="3"/>
    <n v="53009.61"/>
    <x v="59"/>
    <x v="1"/>
  </r>
  <r>
    <x v="946"/>
    <x v="2"/>
    <x v="2"/>
    <x v="0"/>
    <n v="16364.24"/>
    <n v="1"/>
    <n v="16364.24"/>
    <x v="198"/>
    <x v="1"/>
  </r>
  <r>
    <x v="947"/>
    <x v="0"/>
    <x v="0"/>
    <x v="4"/>
    <n v="2095.29"/>
    <n v="1"/>
    <n v="2095.29"/>
    <x v="147"/>
    <x v="0"/>
  </r>
  <r>
    <x v="948"/>
    <x v="0"/>
    <x v="0"/>
    <x v="0"/>
    <n v="65780.350000000006"/>
    <n v="3"/>
    <n v="197341.05"/>
    <x v="208"/>
    <x v="0"/>
  </r>
  <r>
    <x v="949"/>
    <x v="5"/>
    <x v="5"/>
    <x v="4"/>
    <n v="6117.95"/>
    <n v="2"/>
    <n v="12235.9"/>
    <x v="178"/>
    <x v="0"/>
  </r>
  <r>
    <x v="950"/>
    <x v="1"/>
    <x v="1"/>
    <x v="4"/>
    <n v="8680.83"/>
    <n v="1"/>
    <n v="8680.83"/>
    <x v="46"/>
    <x v="3"/>
  </r>
  <r>
    <x v="951"/>
    <x v="5"/>
    <x v="5"/>
    <x v="0"/>
    <n v="71959.759999999995"/>
    <n v="2"/>
    <n v="143919.51999999999"/>
    <x v="13"/>
    <x v="0"/>
  </r>
  <r>
    <x v="952"/>
    <x v="5"/>
    <x v="5"/>
    <x v="5"/>
    <n v="7560.52"/>
    <n v="2"/>
    <n v="15121.04"/>
    <x v="253"/>
    <x v="3"/>
  </r>
  <r>
    <x v="953"/>
    <x v="3"/>
    <x v="3"/>
    <x v="4"/>
    <n v="14383.86"/>
    <n v="3"/>
    <n v="43151.58"/>
    <x v="211"/>
    <x v="0"/>
  </r>
  <r>
    <x v="954"/>
    <x v="4"/>
    <x v="4"/>
    <x v="4"/>
    <n v="1658.1"/>
    <n v="4"/>
    <n v="6632.4"/>
    <x v="324"/>
    <x v="1"/>
  </r>
  <r>
    <x v="955"/>
    <x v="4"/>
    <x v="4"/>
    <x v="4"/>
    <n v="11988.8"/>
    <n v="1"/>
    <n v="11988.8"/>
    <x v="265"/>
    <x v="1"/>
  </r>
  <r>
    <x v="956"/>
    <x v="0"/>
    <x v="0"/>
    <x v="1"/>
    <n v="11872.21"/>
    <n v="4"/>
    <n v="47488.84"/>
    <x v="97"/>
    <x v="3"/>
  </r>
  <r>
    <x v="957"/>
    <x v="1"/>
    <x v="1"/>
    <x v="0"/>
    <n v="71061.179999999993"/>
    <n v="3"/>
    <n v="213183.54"/>
    <x v="107"/>
    <x v="3"/>
  </r>
  <r>
    <x v="958"/>
    <x v="1"/>
    <x v="1"/>
    <x v="5"/>
    <n v="937.42"/>
    <n v="3"/>
    <n v="2812.26"/>
    <x v="119"/>
    <x v="3"/>
  </r>
  <r>
    <x v="959"/>
    <x v="1"/>
    <x v="1"/>
    <x v="2"/>
    <n v="20402.400000000001"/>
    <n v="3"/>
    <n v="61207.199999999997"/>
    <x v="143"/>
    <x v="0"/>
  </r>
  <r>
    <x v="960"/>
    <x v="1"/>
    <x v="1"/>
    <x v="2"/>
    <n v="16461.3"/>
    <n v="2"/>
    <n v="32922.6"/>
    <x v="184"/>
    <x v="0"/>
  </r>
  <r>
    <x v="961"/>
    <x v="1"/>
    <x v="1"/>
    <x v="3"/>
    <n v="692.15"/>
    <n v="5"/>
    <n v="3460.75"/>
    <x v="314"/>
    <x v="0"/>
  </r>
  <r>
    <x v="962"/>
    <x v="3"/>
    <x v="3"/>
    <x v="1"/>
    <n v="8429.14"/>
    <n v="5"/>
    <n v="42145.7"/>
    <x v="97"/>
    <x v="3"/>
  </r>
  <r>
    <x v="963"/>
    <x v="3"/>
    <x v="3"/>
    <x v="0"/>
    <n v="21119.55"/>
    <n v="2"/>
    <n v="42239.1"/>
    <x v="334"/>
    <x v="2"/>
  </r>
  <r>
    <x v="964"/>
    <x v="4"/>
    <x v="4"/>
    <x v="5"/>
    <n v="2824.44"/>
    <n v="5"/>
    <n v="14122.2"/>
    <x v="166"/>
    <x v="3"/>
  </r>
  <r>
    <x v="965"/>
    <x v="1"/>
    <x v="1"/>
    <x v="0"/>
    <n v="7504.63"/>
    <n v="3"/>
    <n v="22513.89"/>
    <x v="210"/>
    <x v="2"/>
  </r>
  <r>
    <x v="966"/>
    <x v="4"/>
    <x v="4"/>
    <x v="2"/>
    <n v="25400.41"/>
    <n v="3"/>
    <n v="76201.23"/>
    <x v="325"/>
    <x v="1"/>
  </r>
  <r>
    <x v="967"/>
    <x v="3"/>
    <x v="3"/>
    <x v="5"/>
    <n v="1349.53"/>
    <n v="2"/>
    <n v="2699.06"/>
    <x v="108"/>
    <x v="3"/>
  </r>
  <r>
    <x v="968"/>
    <x v="1"/>
    <x v="1"/>
    <x v="1"/>
    <n v="5355.46"/>
    <n v="2"/>
    <n v="10710.92"/>
    <x v="37"/>
    <x v="2"/>
  </r>
  <r>
    <x v="969"/>
    <x v="3"/>
    <x v="3"/>
    <x v="1"/>
    <n v="1977.1"/>
    <n v="5"/>
    <n v="9885.5"/>
    <x v="128"/>
    <x v="3"/>
  </r>
  <r>
    <x v="970"/>
    <x v="5"/>
    <x v="5"/>
    <x v="3"/>
    <n v="4771.5600000000004"/>
    <n v="7"/>
    <n v="33400.92"/>
    <x v="336"/>
    <x v="1"/>
  </r>
  <r>
    <x v="971"/>
    <x v="3"/>
    <x v="3"/>
    <x v="4"/>
    <n v="3156.16"/>
    <n v="2"/>
    <n v="6312.32"/>
    <x v="305"/>
    <x v="2"/>
  </r>
  <r>
    <x v="972"/>
    <x v="3"/>
    <x v="3"/>
    <x v="5"/>
    <n v="4222.91"/>
    <n v="2"/>
    <n v="8445.82"/>
    <x v="319"/>
    <x v="3"/>
  </r>
  <r>
    <x v="973"/>
    <x v="4"/>
    <x v="4"/>
    <x v="3"/>
    <n v="1025.05"/>
    <n v="8"/>
    <n v="8200.4"/>
    <x v="115"/>
    <x v="0"/>
  </r>
  <r>
    <x v="974"/>
    <x v="5"/>
    <x v="5"/>
    <x v="0"/>
    <n v="6466.05"/>
    <n v="1"/>
    <n v="6466.05"/>
    <x v="116"/>
    <x v="1"/>
  </r>
  <r>
    <x v="975"/>
    <x v="2"/>
    <x v="2"/>
    <x v="0"/>
    <n v="15811.3"/>
    <n v="1"/>
    <n v="15811.3"/>
    <x v="127"/>
    <x v="0"/>
  </r>
  <r>
    <x v="976"/>
    <x v="1"/>
    <x v="1"/>
    <x v="1"/>
    <n v="940.86"/>
    <n v="4"/>
    <n v="3763.44"/>
    <x v="152"/>
    <x v="2"/>
  </r>
  <r>
    <x v="977"/>
    <x v="1"/>
    <x v="1"/>
    <x v="4"/>
    <n v="3046.13"/>
    <n v="2"/>
    <n v="6092.26"/>
    <x v="208"/>
    <x v="0"/>
  </r>
  <r>
    <x v="978"/>
    <x v="1"/>
    <x v="1"/>
    <x v="5"/>
    <n v="3998.52"/>
    <n v="4"/>
    <n v="15994.08"/>
    <x v="93"/>
    <x v="0"/>
  </r>
  <r>
    <x v="979"/>
    <x v="3"/>
    <x v="3"/>
    <x v="0"/>
    <n v="49164.71"/>
    <n v="2"/>
    <n v="98329.42"/>
    <x v="326"/>
    <x v="0"/>
  </r>
  <r>
    <x v="980"/>
    <x v="4"/>
    <x v="4"/>
    <x v="5"/>
    <n v="789.98"/>
    <n v="5"/>
    <n v="3949.9"/>
    <x v="162"/>
    <x v="2"/>
  </r>
  <r>
    <x v="981"/>
    <x v="0"/>
    <x v="0"/>
    <x v="3"/>
    <n v="2233.04"/>
    <n v="6"/>
    <n v="13398.24"/>
    <x v="8"/>
    <x v="3"/>
  </r>
  <r>
    <x v="982"/>
    <x v="0"/>
    <x v="0"/>
    <x v="5"/>
    <n v="4691.8500000000004"/>
    <n v="5"/>
    <n v="23459.25"/>
    <x v="92"/>
    <x v="3"/>
  </r>
  <r>
    <x v="983"/>
    <x v="1"/>
    <x v="1"/>
    <x v="3"/>
    <n v="1209.42"/>
    <n v="9"/>
    <n v="10884.78"/>
    <x v="62"/>
    <x v="2"/>
  </r>
  <r>
    <x v="984"/>
    <x v="3"/>
    <x v="3"/>
    <x v="2"/>
    <n v="19231.84"/>
    <n v="1"/>
    <n v="19231.84"/>
    <x v="255"/>
    <x v="3"/>
  </r>
  <r>
    <x v="985"/>
    <x v="4"/>
    <x v="4"/>
    <x v="4"/>
    <n v="1715.15"/>
    <n v="4"/>
    <n v="6860.6"/>
    <x v="69"/>
    <x v="3"/>
  </r>
  <r>
    <x v="986"/>
    <x v="5"/>
    <x v="5"/>
    <x v="3"/>
    <n v="1139.6500000000001"/>
    <n v="8"/>
    <n v="9117.2000000000007"/>
    <x v="133"/>
    <x v="3"/>
  </r>
  <r>
    <x v="987"/>
    <x v="3"/>
    <x v="3"/>
    <x v="2"/>
    <n v="23870.89"/>
    <n v="1"/>
    <n v="23870.89"/>
    <x v="79"/>
    <x v="2"/>
  </r>
  <r>
    <x v="988"/>
    <x v="5"/>
    <x v="5"/>
    <x v="4"/>
    <n v="19811.71"/>
    <n v="1"/>
    <n v="19811.71"/>
    <x v="110"/>
    <x v="3"/>
  </r>
  <r>
    <x v="989"/>
    <x v="0"/>
    <x v="0"/>
    <x v="0"/>
    <n v="74722.87"/>
    <n v="1"/>
    <n v="74722.87"/>
    <x v="292"/>
    <x v="2"/>
  </r>
  <r>
    <x v="990"/>
    <x v="2"/>
    <x v="2"/>
    <x v="0"/>
    <n v="73487.929999999993"/>
    <n v="1"/>
    <n v="73487.929999999993"/>
    <x v="286"/>
    <x v="0"/>
  </r>
  <r>
    <x v="991"/>
    <x v="0"/>
    <x v="0"/>
    <x v="2"/>
    <n v="21731.23"/>
    <n v="2"/>
    <n v="43462.46"/>
    <x v="334"/>
    <x v="0"/>
  </r>
  <r>
    <x v="992"/>
    <x v="0"/>
    <x v="0"/>
    <x v="3"/>
    <n v="449.37"/>
    <n v="10"/>
    <n v="4493.7"/>
    <x v="130"/>
    <x v="1"/>
  </r>
  <r>
    <x v="993"/>
    <x v="3"/>
    <x v="3"/>
    <x v="0"/>
    <n v="24809.15"/>
    <n v="2"/>
    <n v="49618.3"/>
    <x v="243"/>
    <x v="2"/>
  </r>
  <r>
    <x v="994"/>
    <x v="4"/>
    <x v="4"/>
    <x v="1"/>
    <n v="3081.26"/>
    <n v="1"/>
    <n v="3081.26"/>
    <x v="193"/>
    <x v="2"/>
  </r>
  <r>
    <x v="995"/>
    <x v="1"/>
    <x v="1"/>
    <x v="5"/>
    <n v="211.6"/>
    <n v="3"/>
    <n v="634.79999999999995"/>
    <x v="249"/>
    <x v="1"/>
  </r>
  <r>
    <x v="996"/>
    <x v="2"/>
    <x v="2"/>
    <x v="3"/>
    <n v="521.41"/>
    <n v="3"/>
    <n v="1564.23"/>
    <x v="206"/>
    <x v="2"/>
  </r>
  <r>
    <x v="997"/>
    <x v="3"/>
    <x v="3"/>
    <x v="3"/>
    <n v="2293.3000000000002"/>
    <n v="9"/>
    <n v="20639.7"/>
    <x v="337"/>
    <x v="3"/>
  </r>
  <r>
    <x v="998"/>
    <x v="4"/>
    <x v="4"/>
    <x v="5"/>
    <n v="2783.33"/>
    <n v="1"/>
    <n v="2783.33"/>
    <x v="251"/>
    <x v="0"/>
  </r>
  <r>
    <x v="999"/>
    <x v="5"/>
    <x v="5"/>
    <x v="1"/>
    <n v="2410.14"/>
    <n v="4"/>
    <n v="9640.56"/>
    <x v="33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A7D66-29DF-4D81-911C-FF2897CA76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1">
    <pivotField showAll="0"/>
    <pivotField axis="axisRow" showAll="0" sortType="descending">
      <items count="7">
        <item x="0"/>
        <item x="4"/>
        <item x="5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numFmtId="14" showAll="0">
      <items count="340">
        <item x="90"/>
        <item x="237"/>
        <item x="8"/>
        <item x="105"/>
        <item x="161"/>
        <item x="202"/>
        <item x="1"/>
        <item x="66"/>
        <item x="100"/>
        <item x="74"/>
        <item x="47"/>
        <item x="151"/>
        <item x="114"/>
        <item x="203"/>
        <item x="231"/>
        <item x="49"/>
        <item x="263"/>
        <item x="194"/>
        <item x="322"/>
        <item x="253"/>
        <item x="252"/>
        <item x="197"/>
        <item x="88"/>
        <item x="140"/>
        <item x="134"/>
        <item x="131"/>
        <item x="282"/>
        <item x="39"/>
        <item x="120"/>
        <item x="65"/>
        <item x="71"/>
        <item x="326"/>
        <item x="172"/>
        <item x="184"/>
        <item x="217"/>
        <item x="28"/>
        <item x="315"/>
        <item x="310"/>
        <item x="26"/>
        <item x="18"/>
        <item x="85"/>
        <item x="9"/>
        <item x="154"/>
        <item x="179"/>
        <item x="309"/>
        <item x="70"/>
        <item x="78"/>
        <item x="254"/>
        <item x="173"/>
        <item x="94"/>
        <item x="225"/>
        <item x="108"/>
        <item x="122"/>
        <item x="243"/>
        <item x="199"/>
        <item x="200"/>
        <item x="188"/>
        <item x="159"/>
        <item x="145"/>
        <item x="15"/>
        <item x="127"/>
        <item x="209"/>
        <item x="187"/>
        <item x="336"/>
        <item x="152"/>
        <item x="317"/>
        <item x="83"/>
        <item x="265"/>
        <item x="113"/>
        <item x="158"/>
        <item x="170"/>
        <item x="87"/>
        <item x="334"/>
        <item x="266"/>
        <item x="29"/>
        <item x="54"/>
        <item x="244"/>
        <item x="104"/>
        <item x="37"/>
        <item x="269"/>
        <item x="93"/>
        <item x="84"/>
        <item x="247"/>
        <item x="250"/>
        <item x="189"/>
        <item x="255"/>
        <item x="321"/>
        <item x="190"/>
        <item x="81"/>
        <item x="185"/>
        <item x="227"/>
        <item x="86"/>
        <item x="177"/>
        <item x="220"/>
        <item x="264"/>
        <item x="299"/>
        <item x="34"/>
        <item x="30"/>
        <item x="119"/>
        <item x="226"/>
        <item x="128"/>
        <item x="210"/>
        <item x="59"/>
        <item x="286"/>
        <item x="19"/>
        <item x="191"/>
        <item x="160"/>
        <item x="305"/>
        <item x="256"/>
        <item x="164"/>
        <item x="196"/>
        <item x="92"/>
        <item x="234"/>
        <item x="204"/>
        <item x="337"/>
        <item x="79"/>
        <item x="296"/>
        <item x="333"/>
        <item x="123"/>
        <item x="72"/>
        <item x="101"/>
        <item x="311"/>
        <item x="246"/>
        <item x="298"/>
        <item x="262"/>
        <item x="240"/>
        <item x="16"/>
        <item x="293"/>
        <item x="223"/>
        <item x="320"/>
        <item x="99"/>
        <item x="11"/>
        <item x="242"/>
        <item x="153"/>
        <item x="215"/>
        <item x="46"/>
        <item x="13"/>
        <item x="41"/>
        <item x="68"/>
        <item x="235"/>
        <item x="142"/>
        <item x="239"/>
        <item x="32"/>
        <item x="157"/>
        <item x="124"/>
        <item x="248"/>
        <item x="268"/>
        <item x="0"/>
        <item x="181"/>
        <item x="219"/>
        <item x="162"/>
        <item x="3"/>
        <item x="10"/>
        <item x="7"/>
        <item x="211"/>
        <item x="175"/>
        <item x="249"/>
        <item x="91"/>
        <item x="89"/>
        <item x="186"/>
        <item x="63"/>
        <item x="271"/>
        <item x="327"/>
        <item x="133"/>
        <item x="288"/>
        <item x="77"/>
        <item x="148"/>
        <item x="118"/>
        <item x="64"/>
        <item x="141"/>
        <item x="277"/>
        <item x="182"/>
        <item x="324"/>
        <item x="23"/>
        <item x="98"/>
        <item x="318"/>
        <item x="80"/>
        <item x="329"/>
        <item x="270"/>
        <item x="192"/>
        <item x="278"/>
        <item x="139"/>
        <item x="40"/>
        <item x="201"/>
        <item x="180"/>
        <item x="56"/>
        <item x="116"/>
        <item x="48"/>
        <item x="109"/>
        <item x="251"/>
        <item x="279"/>
        <item x="205"/>
        <item x="218"/>
        <item x="117"/>
        <item x="222"/>
        <item x="178"/>
        <item x="284"/>
        <item x="21"/>
        <item x="27"/>
        <item x="302"/>
        <item x="292"/>
        <item x="316"/>
        <item x="319"/>
        <item x="259"/>
        <item x="303"/>
        <item x="60"/>
        <item x="338"/>
        <item x="5"/>
        <item x="335"/>
        <item x="163"/>
        <item x="332"/>
        <item x="328"/>
        <item x="274"/>
        <item x="115"/>
        <item x="260"/>
        <item x="58"/>
        <item x="144"/>
        <item x="31"/>
        <item x="102"/>
        <item x="166"/>
        <item x="61"/>
        <item x="283"/>
        <item x="228"/>
        <item x="110"/>
        <item x="214"/>
        <item x="67"/>
        <item x="241"/>
        <item x="2"/>
        <item x="57"/>
        <item x="135"/>
        <item x="52"/>
        <item x="76"/>
        <item x="221"/>
        <item x="198"/>
        <item x="207"/>
        <item x="224"/>
        <item x="167"/>
        <item x="69"/>
        <item x="82"/>
        <item x="280"/>
        <item x="257"/>
        <item x="297"/>
        <item x="229"/>
        <item x="171"/>
        <item x="174"/>
        <item x="50"/>
        <item x="236"/>
        <item x="150"/>
        <item x="38"/>
        <item x="233"/>
        <item x="304"/>
        <item x="138"/>
        <item x="95"/>
        <item x="287"/>
        <item x="20"/>
        <item x="112"/>
        <item x="17"/>
        <item x="232"/>
        <item x="35"/>
        <item x="97"/>
        <item x="4"/>
        <item x="43"/>
        <item x="22"/>
        <item x="267"/>
        <item x="331"/>
        <item x="301"/>
        <item x="6"/>
        <item x="136"/>
        <item x="12"/>
        <item x="238"/>
        <item x="325"/>
        <item x="213"/>
        <item x="258"/>
        <item x="312"/>
        <item x="176"/>
        <item x="107"/>
        <item x="272"/>
        <item x="307"/>
        <item x="129"/>
        <item x="308"/>
        <item x="121"/>
        <item x="276"/>
        <item x="132"/>
        <item x="300"/>
        <item x="53"/>
        <item x="126"/>
        <item x="212"/>
        <item x="125"/>
        <item x="45"/>
        <item x="195"/>
        <item x="62"/>
        <item x="14"/>
        <item x="96"/>
        <item x="33"/>
        <item x="285"/>
        <item x="156"/>
        <item x="147"/>
        <item x="106"/>
        <item x="24"/>
        <item x="216"/>
        <item x="146"/>
        <item x="306"/>
        <item x="245"/>
        <item x="323"/>
        <item x="169"/>
        <item x="183"/>
        <item x="295"/>
        <item x="261"/>
        <item x="314"/>
        <item x="143"/>
        <item x="130"/>
        <item x="208"/>
        <item x="73"/>
        <item x="273"/>
        <item x="44"/>
        <item x="289"/>
        <item x="275"/>
        <item x="313"/>
        <item x="168"/>
        <item x="294"/>
        <item x="230"/>
        <item x="137"/>
        <item x="281"/>
        <item x="290"/>
        <item x="42"/>
        <item x="193"/>
        <item x="51"/>
        <item x="291"/>
        <item x="149"/>
        <item x="25"/>
        <item x="155"/>
        <item x="36"/>
        <item x="111"/>
        <item x="330"/>
        <item x="165"/>
        <item x="75"/>
        <item x="55"/>
        <item x="206"/>
        <item x="10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7">
    <i>
      <x v="4"/>
    </i>
    <i>
      <x/>
    </i>
    <i>
      <x v="3"/>
    </i>
    <i>
      <x v="5"/>
    </i>
    <i>
      <x v="2"/>
    </i>
    <i>
      <x v="1"/>
    </i>
    <i t="grand">
      <x/>
    </i>
  </rowItems>
  <colItems count="1">
    <i/>
  </colItems>
  <dataFields count="1">
    <dataField name="Sum of Total_Sales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F08D4E-D4DF-4D25-87D9-B67C0AE8D68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1">
    <pivotField showAll="0"/>
    <pivotField showAll="0"/>
    <pivotField showAll="0"/>
    <pivotField axis="axisRow" dataField="1" showAll="0" sortType="descending">
      <items count="7">
        <item x="5"/>
        <item x="1"/>
        <item x="0"/>
        <item x="3"/>
        <item x="2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4" showAll="0">
      <items count="340">
        <item x="90"/>
        <item x="237"/>
        <item x="8"/>
        <item x="105"/>
        <item x="161"/>
        <item x="202"/>
        <item x="1"/>
        <item x="66"/>
        <item x="100"/>
        <item x="74"/>
        <item x="47"/>
        <item x="151"/>
        <item x="114"/>
        <item x="203"/>
        <item x="231"/>
        <item x="49"/>
        <item x="263"/>
        <item x="194"/>
        <item x="322"/>
        <item x="253"/>
        <item x="252"/>
        <item x="197"/>
        <item x="88"/>
        <item x="140"/>
        <item x="134"/>
        <item x="131"/>
        <item x="282"/>
        <item x="39"/>
        <item x="120"/>
        <item x="65"/>
        <item x="71"/>
        <item x="326"/>
        <item x="172"/>
        <item x="184"/>
        <item x="217"/>
        <item x="28"/>
        <item x="315"/>
        <item x="310"/>
        <item x="26"/>
        <item x="18"/>
        <item x="85"/>
        <item x="9"/>
        <item x="154"/>
        <item x="179"/>
        <item x="309"/>
        <item x="70"/>
        <item x="78"/>
        <item x="254"/>
        <item x="173"/>
        <item x="94"/>
        <item x="225"/>
        <item x="108"/>
        <item x="122"/>
        <item x="243"/>
        <item x="199"/>
        <item x="200"/>
        <item x="188"/>
        <item x="159"/>
        <item x="145"/>
        <item x="15"/>
        <item x="127"/>
        <item x="209"/>
        <item x="187"/>
        <item x="336"/>
        <item x="152"/>
        <item x="317"/>
        <item x="83"/>
        <item x="265"/>
        <item x="113"/>
        <item x="158"/>
        <item x="170"/>
        <item x="87"/>
        <item x="334"/>
        <item x="266"/>
        <item x="29"/>
        <item x="54"/>
        <item x="244"/>
        <item x="104"/>
        <item x="37"/>
        <item x="269"/>
        <item x="93"/>
        <item x="84"/>
        <item x="247"/>
        <item x="250"/>
        <item x="189"/>
        <item x="255"/>
        <item x="321"/>
        <item x="190"/>
        <item x="81"/>
        <item x="185"/>
        <item x="227"/>
        <item x="86"/>
        <item x="177"/>
        <item x="220"/>
        <item x="264"/>
        <item x="299"/>
        <item x="34"/>
        <item x="30"/>
        <item x="119"/>
        <item x="226"/>
        <item x="128"/>
        <item x="210"/>
        <item x="59"/>
        <item x="286"/>
        <item x="19"/>
        <item x="191"/>
        <item x="160"/>
        <item x="305"/>
        <item x="256"/>
        <item x="164"/>
        <item x="196"/>
        <item x="92"/>
        <item x="234"/>
        <item x="204"/>
        <item x="337"/>
        <item x="79"/>
        <item x="296"/>
        <item x="333"/>
        <item x="123"/>
        <item x="72"/>
        <item x="101"/>
        <item x="311"/>
        <item x="246"/>
        <item x="298"/>
        <item x="262"/>
        <item x="240"/>
        <item x="16"/>
        <item x="293"/>
        <item x="223"/>
        <item x="320"/>
        <item x="99"/>
        <item x="11"/>
        <item x="242"/>
        <item x="153"/>
        <item x="215"/>
        <item x="46"/>
        <item x="13"/>
        <item x="41"/>
        <item x="68"/>
        <item x="235"/>
        <item x="142"/>
        <item x="239"/>
        <item x="32"/>
        <item x="157"/>
        <item x="124"/>
        <item x="248"/>
        <item x="268"/>
        <item x="0"/>
        <item x="181"/>
        <item x="219"/>
        <item x="162"/>
        <item x="3"/>
        <item x="10"/>
        <item x="7"/>
        <item x="211"/>
        <item x="175"/>
        <item x="249"/>
        <item x="91"/>
        <item x="89"/>
        <item x="186"/>
        <item x="63"/>
        <item x="271"/>
        <item x="327"/>
        <item x="133"/>
        <item x="288"/>
        <item x="77"/>
        <item x="148"/>
        <item x="118"/>
        <item x="64"/>
        <item x="141"/>
        <item x="277"/>
        <item x="182"/>
        <item x="324"/>
        <item x="23"/>
        <item x="98"/>
        <item x="318"/>
        <item x="80"/>
        <item x="329"/>
        <item x="270"/>
        <item x="192"/>
        <item x="278"/>
        <item x="139"/>
        <item x="40"/>
        <item x="201"/>
        <item x="180"/>
        <item x="56"/>
        <item x="116"/>
        <item x="48"/>
        <item x="109"/>
        <item x="251"/>
        <item x="279"/>
        <item x="205"/>
        <item x="218"/>
        <item x="117"/>
        <item x="222"/>
        <item x="178"/>
        <item x="284"/>
        <item x="21"/>
        <item x="27"/>
        <item x="302"/>
        <item x="292"/>
        <item x="316"/>
        <item x="319"/>
        <item x="259"/>
        <item x="303"/>
        <item x="60"/>
        <item x="338"/>
        <item x="5"/>
        <item x="335"/>
        <item x="163"/>
        <item x="332"/>
        <item x="328"/>
        <item x="274"/>
        <item x="115"/>
        <item x="260"/>
        <item x="58"/>
        <item x="144"/>
        <item x="31"/>
        <item x="102"/>
        <item x="166"/>
        <item x="61"/>
        <item x="283"/>
        <item x="228"/>
        <item x="110"/>
        <item x="214"/>
        <item x="67"/>
        <item x="241"/>
        <item x="2"/>
        <item x="57"/>
        <item x="135"/>
        <item x="52"/>
        <item x="76"/>
        <item x="221"/>
        <item x="198"/>
        <item x="207"/>
        <item x="224"/>
        <item x="167"/>
        <item x="69"/>
        <item x="82"/>
        <item x="280"/>
        <item x="257"/>
        <item x="297"/>
        <item x="229"/>
        <item x="171"/>
        <item x="174"/>
        <item x="50"/>
        <item x="236"/>
        <item x="150"/>
        <item x="38"/>
        <item x="233"/>
        <item x="304"/>
        <item x="138"/>
        <item x="95"/>
        <item x="287"/>
        <item x="20"/>
        <item x="112"/>
        <item x="17"/>
        <item x="232"/>
        <item x="35"/>
        <item x="97"/>
        <item x="4"/>
        <item x="43"/>
        <item x="22"/>
        <item x="267"/>
        <item x="331"/>
        <item x="301"/>
        <item x="6"/>
        <item x="136"/>
        <item x="12"/>
        <item x="238"/>
        <item x="325"/>
        <item x="213"/>
        <item x="258"/>
        <item x="312"/>
        <item x="176"/>
        <item x="107"/>
        <item x="272"/>
        <item x="307"/>
        <item x="129"/>
        <item x="308"/>
        <item x="121"/>
        <item x="276"/>
        <item x="132"/>
        <item x="300"/>
        <item x="53"/>
        <item x="126"/>
        <item x="212"/>
        <item x="125"/>
        <item x="45"/>
        <item x="195"/>
        <item x="62"/>
        <item x="14"/>
        <item x="96"/>
        <item x="33"/>
        <item x="285"/>
        <item x="156"/>
        <item x="147"/>
        <item x="106"/>
        <item x="24"/>
        <item x="216"/>
        <item x="146"/>
        <item x="306"/>
        <item x="245"/>
        <item x="323"/>
        <item x="169"/>
        <item x="183"/>
        <item x="295"/>
        <item x="261"/>
        <item x="314"/>
        <item x="143"/>
        <item x="130"/>
        <item x="208"/>
        <item x="73"/>
        <item x="273"/>
        <item x="44"/>
        <item x="289"/>
        <item x="275"/>
        <item x="313"/>
        <item x="168"/>
        <item x="294"/>
        <item x="230"/>
        <item x="137"/>
        <item x="281"/>
        <item x="290"/>
        <item x="42"/>
        <item x="193"/>
        <item x="51"/>
        <item x="291"/>
        <item x="149"/>
        <item x="25"/>
        <item x="155"/>
        <item x="36"/>
        <item x="111"/>
        <item x="330"/>
        <item x="165"/>
        <item x="75"/>
        <item x="55"/>
        <item x="206"/>
        <item x="103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7">
    <i>
      <x v="2"/>
    </i>
    <i>
      <x v="3"/>
    </i>
    <i>
      <x v="1"/>
    </i>
    <i>
      <x/>
    </i>
    <i>
      <x v="5"/>
    </i>
    <i>
      <x v="4"/>
    </i>
    <i t="grand">
      <x/>
    </i>
  </rowItems>
  <colItems count="1">
    <i/>
  </colItems>
  <dataFields count="1">
    <dataField name="Count of Product_Lin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3AAF88-D39C-40FA-BB08-6BDA644FCD3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numFmtId="14" showAll="0">
      <items count="340">
        <item x="90"/>
        <item x="237"/>
        <item x="8"/>
        <item x="105"/>
        <item x="161"/>
        <item x="202"/>
        <item x="1"/>
        <item x="66"/>
        <item x="100"/>
        <item x="74"/>
        <item x="47"/>
        <item x="151"/>
        <item x="114"/>
        <item x="203"/>
        <item x="231"/>
        <item x="49"/>
        <item x="263"/>
        <item x="194"/>
        <item x="322"/>
        <item x="253"/>
        <item x="252"/>
        <item x="197"/>
        <item x="88"/>
        <item x="140"/>
        <item x="134"/>
        <item x="131"/>
        <item x="282"/>
        <item x="39"/>
        <item x="120"/>
        <item x="65"/>
        <item x="71"/>
        <item x="326"/>
        <item x="172"/>
        <item x="184"/>
        <item x="217"/>
        <item x="28"/>
        <item x="315"/>
        <item x="310"/>
        <item x="26"/>
        <item x="18"/>
        <item x="85"/>
        <item x="9"/>
        <item x="154"/>
        <item x="179"/>
        <item x="309"/>
        <item x="70"/>
        <item x="78"/>
        <item x="254"/>
        <item x="173"/>
        <item x="94"/>
        <item x="225"/>
        <item x="108"/>
        <item x="122"/>
        <item x="243"/>
        <item x="199"/>
        <item x="200"/>
        <item x="188"/>
        <item x="159"/>
        <item x="145"/>
        <item x="15"/>
        <item x="127"/>
        <item x="209"/>
        <item x="187"/>
        <item x="336"/>
        <item x="152"/>
        <item x="317"/>
        <item x="83"/>
        <item x="265"/>
        <item x="113"/>
        <item x="158"/>
        <item x="170"/>
        <item x="87"/>
        <item x="334"/>
        <item x="266"/>
        <item x="29"/>
        <item x="54"/>
        <item x="244"/>
        <item x="104"/>
        <item x="37"/>
        <item x="269"/>
        <item x="93"/>
        <item x="84"/>
        <item x="247"/>
        <item x="250"/>
        <item x="189"/>
        <item x="255"/>
        <item x="321"/>
        <item x="190"/>
        <item x="81"/>
        <item x="185"/>
        <item x="227"/>
        <item x="86"/>
        <item x="177"/>
        <item x="220"/>
        <item x="264"/>
        <item x="299"/>
        <item x="34"/>
        <item x="30"/>
        <item x="119"/>
        <item x="226"/>
        <item x="128"/>
        <item x="210"/>
        <item x="59"/>
        <item x="286"/>
        <item x="19"/>
        <item x="191"/>
        <item x="160"/>
        <item x="305"/>
        <item x="256"/>
        <item x="164"/>
        <item x="196"/>
        <item x="92"/>
        <item x="234"/>
        <item x="204"/>
        <item x="337"/>
        <item x="79"/>
        <item x="296"/>
        <item x="333"/>
        <item x="123"/>
        <item x="72"/>
        <item x="101"/>
        <item x="311"/>
        <item x="246"/>
        <item x="298"/>
        <item x="262"/>
        <item x="240"/>
        <item x="16"/>
        <item x="293"/>
        <item x="223"/>
        <item x="320"/>
        <item x="99"/>
        <item x="11"/>
        <item x="242"/>
        <item x="153"/>
        <item x="215"/>
        <item x="46"/>
        <item x="13"/>
        <item x="41"/>
        <item x="68"/>
        <item x="235"/>
        <item x="142"/>
        <item x="239"/>
        <item x="32"/>
        <item x="157"/>
        <item x="124"/>
        <item x="248"/>
        <item x="268"/>
        <item x="0"/>
        <item x="181"/>
        <item x="219"/>
        <item x="162"/>
        <item x="3"/>
        <item x="10"/>
        <item x="7"/>
        <item x="211"/>
        <item x="175"/>
        <item x="249"/>
        <item x="91"/>
        <item x="89"/>
        <item x="186"/>
        <item x="63"/>
        <item x="271"/>
        <item x="327"/>
        <item x="133"/>
        <item x="288"/>
        <item x="77"/>
        <item x="148"/>
        <item x="118"/>
        <item x="64"/>
        <item x="141"/>
        <item x="277"/>
        <item x="182"/>
        <item x="324"/>
        <item x="23"/>
        <item x="98"/>
        <item x="318"/>
        <item x="80"/>
        <item x="329"/>
        <item x="270"/>
        <item x="192"/>
        <item x="278"/>
        <item x="139"/>
        <item x="40"/>
        <item x="201"/>
        <item x="180"/>
        <item x="56"/>
        <item x="116"/>
        <item x="48"/>
        <item x="109"/>
        <item x="251"/>
        <item x="279"/>
        <item x="205"/>
        <item x="218"/>
        <item x="117"/>
        <item x="222"/>
        <item x="178"/>
        <item x="284"/>
        <item x="21"/>
        <item x="27"/>
        <item x="302"/>
        <item x="292"/>
        <item x="316"/>
        <item x="319"/>
        <item x="259"/>
        <item x="303"/>
        <item x="60"/>
        <item x="338"/>
        <item x="5"/>
        <item x="335"/>
        <item x="163"/>
        <item x="332"/>
        <item x="328"/>
        <item x="274"/>
        <item x="115"/>
        <item x="260"/>
        <item x="58"/>
        <item x="144"/>
        <item x="31"/>
        <item x="102"/>
        <item x="166"/>
        <item x="61"/>
        <item x="283"/>
        <item x="228"/>
        <item x="110"/>
        <item x="214"/>
        <item x="67"/>
        <item x="241"/>
        <item x="2"/>
        <item x="57"/>
        <item x="135"/>
        <item x="52"/>
        <item x="76"/>
        <item x="221"/>
        <item x="198"/>
        <item x="207"/>
        <item x="224"/>
        <item x="167"/>
        <item x="69"/>
        <item x="82"/>
        <item x="280"/>
        <item x="257"/>
        <item x="297"/>
        <item x="229"/>
        <item x="171"/>
        <item x="174"/>
        <item x="50"/>
        <item x="236"/>
        <item x="150"/>
        <item x="38"/>
        <item x="233"/>
        <item x="304"/>
        <item x="138"/>
        <item x="95"/>
        <item x="287"/>
        <item x="20"/>
        <item x="112"/>
        <item x="17"/>
        <item x="232"/>
        <item x="35"/>
        <item x="97"/>
        <item x="4"/>
        <item x="43"/>
        <item x="22"/>
        <item x="267"/>
        <item x="331"/>
        <item x="301"/>
        <item x="6"/>
        <item x="136"/>
        <item x="12"/>
        <item x="238"/>
        <item x="325"/>
        <item x="213"/>
        <item x="258"/>
        <item x="312"/>
        <item x="176"/>
        <item x="107"/>
        <item x="272"/>
        <item x="307"/>
        <item x="129"/>
        <item x="308"/>
        <item x="121"/>
        <item x="276"/>
        <item x="132"/>
        <item x="300"/>
        <item x="53"/>
        <item x="126"/>
        <item x="212"/>
        <item x="125"/>
        <item x="45"/>
        <item x="195"/>
        <item x="62"/>
        <item x="14"/>
        <item x="96"/>
        <item x="33"/>
        <item x="285"/>
        <item x="156"/>
        <item x="147"/>
        <item x="106"/>
        <item x="24"/>
        <item x="216"/>
        <item x="146"/>
        <item x="306"/>
        <item x="245"/>
        <item x="323"/>
        <item x="169"/>
        <item x="183"/>
        <item x="295"/>
        <item x="261"/>
        <item x="314"/>
        <item x="143"/>
        <item x="130"/>
        <item x="208"/>
        <item x="73"/>
        <item x="273"/>
        <item x="44"/>
        <item x="289"/>
        <item x="275"/>
        <item x="313"/>
        <item x="168"/>
        <item x="294"/>
        <item x="230"/>
        <item x="137"/>
        <item x="281"/>
        <item x="290"/>
        <item x="42"/>
        <item x="193"/>
        <item x="51"/>
        <item x="291"/>
        <item x="149"/>
        <item x="25"/>
        <item x="155"/>
        <item x="36"/>
        <item x="111"/>
        <item x="330"/>
        <item x="165"/>
        <item x="75"/>
        <item x="55"/>
        <item x="206"/>
        <item x="103"/>
        <item t="default"/>
      </items>
    </pivotField>
    <pivotField axis="axisRow" dataField="1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5">
    <i>
      <x v="1"/>
    </i>
    <i>
      <x v="3"/>
    </i>
    <i>
      <x v="2"/>
    </i>
    <i>
      <x/>
    </i>
    <i t="grand">
      <x/>
    </i>
  </rowItems>
  <colItems count="1">
    <i/>
  </colItems>
  <dataFields count="1">
    <dataField name="Count of Payment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737F1A-5B09-4460-BC58-252C9344A9D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0" firstHeaderRow="1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7">
        <item x="0"/>
        <item x="4"/>
        <item x="5"/>
        <item x="1"/>
        <item x="3"/>
        <item x="2"/>
        <item t="default"/>
      </items>
    </pivotField>
    <pivotField axis="axisRow" showAll="0">
      <items count="7">
        <item x="0"/>
        <item x="4"/>
        <item x="5"/>
        <item x="1"/>
        <item x="3"/>
        <item x="2"/>
        <item t="default"/>
      </items>
    </pivotField>
    <pivotField showAll="0"/>
    <pivotField showAll="0"/>
    <pivotField showAll="0"/>
    <pivotField showAll="0"/>
    <pivotField numFmtId="14" showAll="0">
      <items count="340">
        <item x="90"/>
        <item x="237"/>
        <item x="8"/>
        <item x="105"/>
        <item x="161"/>
        <item x="202"/>
        <item x="1"/>
        <item x="66"/>
        <item x="100"/>
        <item x="74"/>
        <item x="47"/>
        <item x="151"/>
        <item x="114"/>
        <item x="203"/>
        <item x="231"/>
        <item x="49"/>
        <item x="263"/>
        <item x="194"/>
        <item x="322"/>
        <item x="253"/>
        <item x="252"/>
        <item x="197"/>
        <item x="88"/>
        <item x="140"/>
        <item x="134"/>
        <item x="131"/>
        <item x="282"/>
        <item x="39"/>
        <item x="120"/>
        <item x="65"/>
        <item x="71"/>
        <item x="326"/>
        <item x="172"/>
        <item x="184"/>
        <item x="217"/>
        <item x="28"/>
        <item x="315"/>
        <item x="310"/>
        <item x="26"/>
        <item x="18"/>
        <item x="85"/>
        <item x="9"/>
        <item x="154"/>
        <item x="179"/>
        <item x="309"/>
        <item x="70"/>
        <item x="78"/>
        <item x="254"/>
        <item x="173"/>
        <item x="94"/>
        <item x="225"/>
        <item x="108"/>
        <item x="122"/>
        <item x="243"/>
        <item x="199"/>
        <item x="200"/>
        <item x="188"/>
        <item x="159"/>
        <item x="145"/>
        <item x="15"/>
        <item x="127"/>
        <item x="209"/>
        <item x="187"/>
        <item x="336"/>
        <item x="152"/>
        <item x="317"/>
        <item x="83"/>
        <item x="265"/>
        <item x="113"/>
        <item x="158"/>
        <item x="170"/>
        <item x="87"/>
        <item x="334"/>
        <item x="266"/>
        <item x="29"/>
        <item x="54"/>
        <item x="244"/>
        <item x="104"/>
        <item x="37"/>
        <item x="269"/>
        <item x="93"/>
        <item x="84"/>
        <item x="247"/>
        <item x="250"/>
        <item x="189"/>
        <item x="255"/>
        <item x="321"/>
        <item x="190"/>
        <item x="81"/>
        <item x="185"/>
        <item x="227"/>
        <item x="86"/>
        <item x="177"/>
        <item x="220"/>
        <item x="264"/>
        <item x="299"/>
        <item x="34"/>
        <item x="30"/>
        <item x="119"/>
        <item x="226"/>
        <item x="128"/>
        <item x="210"/>
        <item x="59"/>
        <item x="286"/>
        <item x="19"/>
        <item x="191"/>
        <item x="160"/>
        <item x="305"/>
        <item x="256"/>
        <item x="164"/>
        <item x="196"/>
        <item x="92"/>
        <item x="234"/>
        <item x="204"/>
        <item x="337"/>
        <item x="79"/>
        <item x="296"/>
        <item x="333"/>
        <item x="123"/>
        <item x="72"/>
        <item x="101"/>
        <item x="311"/>
        <item x="246"/>
        <item x="298"/>
        <item x="262"/>
        <item x="240"/>
        <item x="16"/>
        <item x="293"/>
        <item x="223"/>
        <item x="320"/>
        <item x="99"/>
        <item x="11"/>
        <item x="242"/>
        <item x="153"/>
        <item x="215"/>
        <item x="46"/>
        <item x="13"/>
        <item x="41"/>
        <item x="68"/>
        <item x="235"/>
        <item x="142"/>
        <item x="239"/>
        <item x="32"/>
        <item x="157"/>
        <item x="124"/>
        <item x="248"/>
        <item x="268"/>
        <item x="0"/>
        <item x="181"/>
        <item x="219"/>
        <item x="162"/>
        <item x="3"/>
        <item x="10"/>
        <item x="7"/>
        <item x="211"/>
        <item x="175"/>
        <item x="249"/>
        <item x="91"/>
        <item x="89"/>
        <item x="186"/>
        <item x="63"/>
        <item x="271"/>
        <item x="327"/>
        <item x="133"/>
        <item x="288"/>
        <item x="77"/>
        <item x="148"/>
        <item x="118"/>
        <item x="64"/>
        <item x="141"/>
        <item x="277"/>
        <item x="182"/>
        <item x="324"/>
        <item x="23"/>
        <item x="98"/>
        <item x="318"/>
        <item x="80"/>
        <item x="329"/>
        <item x="270"/>
        <item x="192"/>
        <item x="278"/>
        <item x="139"/>
        <item x="40"/>
        <item x="201"/>
        <item x="180"/>
        <item x="56"/>
        <item x="116"/>
        <item x="48"/>
        <item x="109"/>
        <item x="251"/>
        <item x="279"/>
        <item x="205"/>
        <item x="218"/>
        <item x="117"/>
        <item x="222"/>
        <item x="178"/>
        <item x="284"/>
        <item x="21"/>
        <item x="27"/>
        <item x="302"/>
        <item x="292"/>
        <item x="316"/>
        <item x="319"/>
        <item x="259"/>
        <item x="303"/>
        <item x="60"/>
        <item x="338"/>
        <item x="5"/>
        <item x="335"/>
        <item x="163"/>
        <item x="332"/>
        <item x="328"/>
        <item x="274"/>
        <item x="115"/>
        <item x="260"/>
        <item x="58"/>
        <item x="144"/>
        <item x="31"/>
        <item x="102"/>
        <item x="166"/>
        <item x="61"/>
        <item x="283"/>
        <item x="228"/>
        <item x="110"/>
        <item x="214"/>
        <item x="67"/>
        <item x="241"/>
        <item x="2"/>
        <item x="57"/>
        <item x="135"/>
        <item x="52"/>
        <item x="76"/>
        <item x="221"/>
        <item x="198"/>
        <item x="207"/>
        <item x="224"/>
        <item x="167"/>
        <item x="69"/>
        <item x="82"/>
        <item x="280"/>
        <item x="257"/>
        <item x="297"/>
        <item x="229"/>
        <item x="171"/>
        <item x="174"/>
        <item x="50"/>
        <item x="236"/>
        <item x="150"/>
        <item x="38"/>
        <item x="233"/>
        <item x="304"/>
        <item x="138"/>
        <item x="95"/>
        <item x="287"/>
        <item x="20"/>
        <item x="112"/>
        <item x="17"/>
        <item x="232"/>
        <item x="35"/>
        <item x="97"/>
        <item x="4"/>
        <item x="43"/>
        <item x="22"/>
        <item x="267"/>
        <item x="331"/>
        <item x="301"/>
        <item x="6"/>
        <item x="136"/>
        <item x="12"/>
        <item x="238"/>
        <item x="325"/>
        <item x="213"/>
        <item x="258"/>
        <item x="312"/>
        <item x="176"/>
        <item x="107"/>
        <item x="272"/>
        <item x="307"/>
        <item x="129"/>
        <item x="308"/>
        <item x="121"/>
        <item x="276"/>
        <item x="132"/>
        <item x="300"/>
        <item x="53"/>
        <item x="126"/>
        <item x="212"/>
        <item x="125"/>
        <item x="45"/>
        <item x="195"/>
        <item x="62"/>
        <item x="14"/>
        <item x="96"/>
        <item x="33"/>
        <item x="285"/>
        <item x="156"/>
        <item x="147"/>
        <item x="106"/>
        <item x="24"/>
        <item x="216"/>
        <item x="146"/>
        <item x="306"/>
        <item x="245"/>
        <item x="323"/>
        <item x="169"/>
        <item x="183"/>
        <item x="295"/>
        <item x="261"/>
        <item x="314"/>
        <item x="143"/>
        <item x="130"/>
        <item x="208"/>
        <item x="73"/>
        <item x="273"/>
        <item x="44"/>
        <item x="289"/>
        <item x="275"/>
        <item x="313"/>
        <item x="168"/>
        <item x="294"/>
        <item x="230"/>
        <item x="137"/>
        <item x="281"/>
        <item x="290"/>
        <item x="42"/>
        <item x="193"/>
        <item x="51"/>
        <item x="291"/>
        <item x="149"/>
        <item x="25"/>
        <item x="155"/>
        <item x="36"/>
        <item x="111"/>
        <item x="330"/>
        <item x="165"/>
        <item x="75"/>
        <item x="55"/>
        <item x="206"/>
        <item x="103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Invoice_ID" fld="0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7B43A26-4CE6-4441-B052-46AF1EBD5511}" autoFormatId="16" applyNumberFormats="0" applyBorderFormats="0" applyFontFormats="0" applyPatternFormats="0" applyAlignmentFormats="0" applyWidthHeightFormats="0">
  <queryTableRefresh nextId="10">
    <queryTableFields count="9">
      <queryTableField id="1" name="Invoice_ID" tableColumnId="1"/>
      <queryTableField id="2" name="Branch" tableColumnId="2"/>
      <queryTableField id="3" name="City" tableColumnId="3"/>
      <queryTableField id="4" name="Product_Line" tableColumnId="4"/>
      <queryTableField id="5" name="Unit_Price" tableColumnId="5"/>
      <queryTableField id="6" name="Quantity" tableColumnId="6"/>
      <queryTableField id="7" name="Total_Sales" tableColumnId="7"/>
      <queryTableField id="8" name="Date" tableColumnId="8"/>
      <queryTableField id="9" name="Payment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F9D81D-8D52-4368-A03A-9754FF0F15FA}" name="Supermarket_Sales_1000_Rows" displayName="Supermarket_Sales_1000_Rows" ref="A1:I1001" tableType="queryTable" totalsRowShown="0">
  <autoFilter ref="A1:I1001" xr:uid="{6FF9D81D-8D52-4368-A03A-9754FF0F15FA}"/>
  <sortState xmlns:xlrd2="http://schemas.microsoft.com/office/spreadsheetml/2017/richdata2" ref="A2:I1001">
    <sortCondition ref="A1:A1001"/>
  </sortState>
  <tableColumns count="9">
    <tableColumn id="1" xr3:uid="{458251F0-5AB9-4010-9B5F-3E2AE56041D7}" uniqueName="1" name="Invoice_ID" queryTableFieldId="1" dataDxfId="5"/>
    <tableColumn id="2" xr3:uid="{AD14A446-264C-4C21-9832-8E9BD26325BF}" uniqueName="2" name="Branch" queryTableFieldId="2" dataDxfId="4"/>
    <tableColumn id="3" xr3:uid="{B43B84C2-EF5A-477C-A2A9-C15CEF49A118}" uniqueName="3" name="City" queryTableFieldId="3" dataDxfId="3"/>
    <tableColumn id="4" xr3:uid="{DBCC9B82-0638-4C4D-BD6A-D82D0C71A9F5}" uniqueName="4" name="Product_Line" queryTableFieldId="4" dataDxfId="2"/>
    <tableColumn id="5" xr3:uid="{6ED5EC11-0CCA-4003-B197-C7B79B4638EF}" uniqueName="5" name="Unit_Price" queryTableFieldId="5"/>
    <tableColumn id="6" xr3:uid="{657302D7-9976-4C2A-A04C-CAAF9EC321CC}" uniqueName="6" name="Quantity" queryTableFieldId="6"/>
    <tableColumn id="7" xr3:uid="{E132FE78-5CCF-422B-B54B-DBFECB7343D4}" uniqueName="7" name="Total_Sales" queryTableFieldId="7"/>
    <tableColumn id="8" xr3:uid="{27B57DFA-0344-4DC7-8277-15B1595D07C0}" uniqueName="8" name="Date" queryTableFieldId="8" dataDxfId="1"/>
    <tableColumn id="9" xr3:uid="{42887EC7-8754-48A2-AB84-50F0B20632D2}" uniqueName="9" name="Payment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072B0-59F6-405F-B524-7B971B18F48C}">
  <dimension ref="A1:I1001"/>
  <sheetViews>
    <sheetView tabSelected="1" workbookViewId="0">
      <selection activeCell="D13" sqref="D13"/>
    </sheetView>
  </sheetViews>
  <sheetFormatPr defaultRowHeight="14.4" x14ac:dyDescent="0.3"/>
  <cols>
    <col min="1" max="1" width="11.77734375" bestFit="1" customWidth="1"/>
    <col min="2" max="2" width="16" bestFit="1" customWidth="1"/>
    <col min="3" max="3" width="9.77734375" bestFit="1" customWidth="1"/>
    <col min="4" max="4" width="19.88671875" bestFit="1" customWidth="1"/>
    <col min="5" max="5" width="11.77734375" bestFit="1" customWidth="1"/>
    <col min="6" max="6" width="10.33203125" bestFit="1" customWidth="1"/>
    <col min="7" max="7" width="12.6640625" bestFit="1" customWidth="1"/>
    <col min="8" max="8" width="10.33203125" bestFit="1" customWidth="1"/>
    <col min="9" max="9" width="10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1030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10</v>
      </c>
      <c r="D2" t="s">
        <v>11</v>
      </c>
      <c r="E2">
        <v>62328.21</v>
      </c>
      <c r="F2">
        <v>2</v>
      </c>
      <c r="G2">
        <v>124656.42</v>
      </c>
      <c r="H2" s="1">
        <v>46185</v>
      </c>
      <c r="I2" t="s">
        <v>12</v>
      </c>
    </row>
    <row r="3" spans="1:9" x14ac:dyDescent="0.3">
      <c r="A3" t="s">
        <v>13</v>
      </c>
      <c r="B3" t="s">
        <v>14</v>
      </c>
      <c r="C3" t="s">
        <v>15</v>
      </c>
      <c r="D3" t="s">
        <v>16</v>
      </c>
      <c r="E3">
        <v>7250.92</v>
      </c>
      <c r="F3">
        <v>4</v>
      </c>
      <c r="G3">
        <v>29003.68</v>
      </c>
      <c r="H3" s="1">
        <v>46029</v>
      </c>
      <c r="I3" t="s">
        <v>17</v>
      </c>
    </row>
    <row r="4" spans="1:9" x14ac:dyDescent="0.3">
      <c r="A4" t="s">
        <v>18</v>
      </c>
      <c r="B4" t="s">
        <v>9</v>
      </c>
      <c r="C4" t="s">
        <v>10</v>
      </c>
      <c r="D4" t="s">
        <v>11</v>
      </c>
      <c r="E4">
        <v>18968.22</v>
      </c>
      <c r="F4">
        <v>1</v>
      </c>
      <c r="G4">
        <v>18968.22</v>
      </c>
      <c r="H4" s="1">
        <v>46268</v>
      </c>
      <c r="I4" t="s">
        <v>12</v>
      </c>
    </row>
    <row r="5" spans="1:9" x14ac:dyDescent="0.3">
      <c r="A5" t="s">
        <v>19</v>
      </c>
      <c r="B5" t="s">
        <v>20</v>
      </c>
      <c r="C5" t="s">
        <v>21</v>
      </c>
      <c r="D5" t="s">
        <v>11</v>
      </c>
      <c r="E5">
        <v>56129.09</v>
      </c>
      <c r="F5">
        <v>2</v>
      </c>
      <c r="G5">
        <v>112258.18</v>
      </c>
      <c r="H5" s="1">
        <v>46189</v>
      </c>
      <c r="I5" t="s">
        <v>22</v>
      </c>
    </row>
    <row r="6" spans="1:9" x14ac:dyDescent="0.3">
      <c r="A6" t="s">
        <v>23</v>
      </c>
      <c r="B6" t="s">
        <v>24</v>
      </c>
      <c r="C6" t="s">
        <v>25</v>
      </c>
      <c r="D6" t="s">
        <v>26</v>
      </c>
      <c r="E6">
        <v>5139.5600000000004</v>
      </c>
      <c r="F6">
        <v>3</v>
      </c>
      <c r="G6">
        <v>15418.68</v>
      </c>
      <c r="H6" s="1">
        <v>46304</v>
      </c>
      <c r="I6" t="s">
        <v>27</v>
      </c>
    </row>
    <row r="7" spans="1:9" x14ac:dyDescent="0.3">
      <c r="A7" t="s">
        <v>28</v>
      </c>
      <c r="B7" t="s">
        <v>29</v>
      </c>
      <c r="C7" t="s">
        <v>30</v>
      </c>
      <c r="D7" t="s">
        <v>31</v>
      </c>
      <c r="E7">
        <v>3883.37</v>
      </c>
      <c r="F7">
        <v>9</v>
      </c>
      <c r="G7">
        <v>34950.33</v>
      </c>
      <c r="H7" s="1">
        <v>46248</v>
      </c>
      <c r="I7" t="s">
        <v>12</v>
      </c>
    </row>
    <row r="8" spans="1:9" x14ac:dyDescent="0.3">
      <c r="A8" t="s">
        <v>32</v>
      </c>
      <c r="B8" t="s">
        <v>9</v>
      </c>
      <c r="C8" t="s">
        <v>10</v>
      </c>
      <c r="D8" t="s">
        <v>33</v>
      </c>
      <c r="E8">
        <v>11922.71</v>
      </c>
      <c r="F8">
        <v>2</v>
      </c>
      <c r="G8">
        <v>23845.42</v>
      </c>
      <c r="H8" s="1">
        <v>46310</v>
      </c>
      <c r="I8" t="s">
        <v>17</v>
      </c>
    </row>
    <row r="9" spans="1:9" x14ac:dyDescent="0.3">
      <c r="A9" t="s">
        <v>34</v>
      </c>
      <c r="B9" t="s">
        <v>9</v>
      </c>
      <c r="C9" t="s">
        <v>10</v>
      </c>
      <c r="D9" t="s">
        <v>31</v>
      </c>
      <c r="E9">
        <v>598.21</v>
      </c>
      <c r="F9">
        <v>3</v>
      </c>
      <c r="G9">
        <v>1794.63</v>
      </c>
      <c r="H9" s="1">
        <v>46191</v>
      </c>
      <c r="I9" t="s">
        <v>27</v>
      </c>
    </row>
    <row r="10" spans="1:9" x14ac:dyDescent="0.3">
      <c r="A10" t="s">
        <v>35</v>
      </c>
      <c r="B10" t="s">
        <v>24</v>
      </c>
      <c r="C10" t="s">
        <v>25</v>
      </c>
      <c r="D10" t="s">
        <v>26</v>
      </c>
      <c r="E10">
        <v>4895.7700000000004</v>
      </c>
      <c r="F10">
        <v>1</v>
      </c>
      <c r="G10">
        <v>4895.7700000000004</v>
      </c>
      <c r="H10" s="1">
        <v>46025</v>
      </c>
      <c r="I10" t="s">
        <v>27</v>
      </c>
    </row>
    <row r="11" spans="1:9" x14ac:dyDescent="0.3">
      <c r="A11" t="s">
        <v>36</v>
      </c>
      <c r="B11" t="s">
        <v>14</v>
      </c>
      <c r="C11" t="s">
        <v>15</v>
      </c>
      <c r="D11" t="s">
        <v>16</v>
      </c>
      <c r="E11">
        <v>9084.7900000000009</v>
      </c>
      <c r="F11">
        <v>3</v>
      </c>
      <c r="G11">
        <v>27254.37</v>
      </c>
      <c r="H11" s="1">
        <v>46070</v>
      </c>
      <c r="I11" t="s">
        <v>22</v>
      </c>
    </row>
    <row r="12" spans="1:9" x14ac:dyDescent="0.3">
      <c r="A12" t="s">
        <v>37</v>
      </c>
      <c r="B12" t="s">
        <v>38</v>
      </c>
      <c r="C12" t="s">
        <v>39</v>
      </c>
      <c r="D12" t="s">
        <v>26</v>
      </c>
      <c r="E12">
        <v>15353.86</v>
      </c>
      <c r="F12">
        <v>2</v>
      </c>
      <c r="G12">
        <v>30707.72</v>
      </c>
      <c r="H12" s="1">
        <v>46190</v>
      </c>
      <c r="I12" t="s">
        <v>27</v>
      </c>
    </row>
    <row r="13" spans="1:9" x14ac:dyDescent="0.3">
      <c r="A13" t="s">
        <v>40</v>
      </c>
      <c r="B13" t="s">
        <v>29</v>
      </c>
      <c r="C13" t="s">
        <v>30</v>
      </c>
      <c r="D13" t="s">
        <v>26</v>
      </c>
      <c r="E13">
        <v>44575.79</v>
      </c>
      <c r="F13">
        <v>1</v>
      </c>
      <c r="G13">
        <v>44575.79</v>
      </c>
      <c r="H13" s="1">
        <v>46168</v>
      </c>
      <c r="I13" t="s">
        <v>27</v>
      </c>
    </row>
    <row r="14" spans="1:9" x14ac:dyDescent="0.3">
      <c r="A14" t="s">
        <v>41</v>
      </c>
      <c r="B14" t="s">
        <v>20</v>
      </c>
      <c r="C14" t="s">
        <v>21</v>
      </c>
      <c r="D14" t="s">
        <v>16</v>
      </c>
      <c r="E14">
        <v>9216.25</v>
      </c>
      <c r="F14">
        <v>1</v>
      </c>
      <c r="G14">
        <v>9216.25</v>
      </c>
      <c r="H14" s="1">
        <v>46312</v>
      </c>
      <c r="I14" t="s">
        <v>27</v>
      </c>
    </row>
    <row r="15" spans="1:9" x14ac:dyDescent="0.3">
      <c r="A15" t="s">
        <v>42</v>
      </c>
      <c r="B15" t="s">
        <v>9</v>
      </c>
      <c r="C15" t="s">
        <v>10</v>
      </c>
      <c r="D15" t="s">
        <v>33</v>
      </c>
      <c r="E15">
        <v>14054.35</v>
      </c>
      <c r="F15">
        <v>2</v>
      </c>
      <c r="G15">
        <v>28108.7</v>
      </c>
      <c r="H15" s="1">
        <v>46173</v>
      </c>
      <c r="I15" t="s">
        <v>17</v>
      </c>
    </row>
    <row r="16" spans="1:9" x14ac:dyDescent="0.3">
      <c r="A16" t="s">
        <v>43</v>
      </c>
      <c r="B16" t="s">
        <v>14</v>
      </c>
      <c r="C16" t="s">
        <v>15</v>
      </c>
      <c r="D16" t="s">
        <v>31</v>
      </c>
      <c r="E16">
        <v>1429.1</v>
      </c>
      <c r="F16">
        <v>8</v>
      </c>
      <c r="G16">
        <v>11432.8</v>
      </c>
      <c r="H16" s="1">
        <v>46336</v>
      </c>
      <c r="I16" t="s">
        <v>17</v>
      </c>
    </row>
    <row r="17" spans="1:9" x14ac:dyDescent="0.3">
      <c r="A17" t="s">
        <v>44</v>
      </c>
      <c r="B17" t="s">
        <v>38</v>
      </c>
      <c r="C17" t="s">
        <v>39</v>
      </c>
      <c r="D17" t="s">
        <v>11</v>
      </c>
      <c r="E17">
        <v>53403.68</v>
      </c>
      <c r="F17">
        <v>1</v>
      </c>
      <c r="G17">
        <v>53403.68</v>
      </c>
      <c r="H17" s="1">
        <v>46091</v>
      </c>
      <c r="I17" t="s">
        <v>22</v>
      </c>
    </row>
    <row r="18" spans="1:9" x14ac:dyDescent="0.3">
      <c r="A18" t="s">
        <v>45</v>
      </c>
      <c r="B18" t="s">
        <v>14</v>
      </c>
      <c r="C18" t="s">
        <v>15</v>
      </c>
      <c r="D18" t="s">
        <v>26</v>
      </c>
      <c r="E18">
        <v>47459.24</v>
      </c>
      <c r="F18">
        <v>2</v>
      </c>
      <c r="G18">
        <v>94918.48</v>
      </c>
      <c r="H18" s="1">
        <v>46163</v>
      </c>
      <c r="I18" t="s">
        <v>27</v>
      </c>
    </row>
    <row r="19" spans="1:9" x14ac:dyDescent="0.3">
      <c r="A19" t="s">
        <v>46</v>
      </c>
      <c r="B19" t="s">
        <v>24</v>
      </c>
      <c r="C19" t="s">
        <v>25</v>
      </c>
      <c r="D19" t="s">
        <v>47</v>
      </c>
      <c r="E19">
        <v>823.32</v>
      </c>
      <c r="F19">
        <v>1</v>
      </c>
      <c r="G19">
        <v>823.32</v>
      </c>
      <c r="H19" s="1">
        <v>46299</v>
      </c>
      <c r="I19" t="s">
        <v>27</v>
      </c>
    </row>
    <row r="20" spans="1:9" x14ac:dyDescent="0.3">
      <c r="A20" t="s">
        <v>48</v>
      </c>
      <c r="B20" t="s">
        <v>9</v>
      </c>
      <c r="C20" t="s">
        <v>10</v>
      </c>
      <c r="D20" t="s">
        <v>11</v>
      </c>
      <c r="E20">
        <v>25001.27</v>
      </c>
      <c r="F20">
        <v>1</v>
      </c>
      <c r="G20">
        <v>25001.27</v>
      </c>
      <c r="H20" s="1">
        <v>46068</v>
      </c>
      <c r="I20" t="s">
        <v>22</v>
      </c>
    </row>
    <row r="21" spans="1:9" x14ac:dyDescent="0.3">
      <c r="A21" t="s">
        <v>49</v>
      </c>
      <c r="B21" t="s">
        <v>20</v>
      </c>
      <c r="C21" t="s">
        <v>21</v>
      </c>
      <c r="D21" t="s">
        <v>16</v>
      </c>
      <c r="E21">
        <v>3045.67</v>
      </c>
      <c r="F21">
        <v>4</v>
      </c>
      <c r="G21">
        <v>12182.68</v>
      </c>
      <c r="H21" s="1">
        <v>46140</v>
      </c>
      <c r="I21" t="s">
        <v>17</v>
      </c>
    </row>
    <row r="22" spans="1:9" x14ac:dyDescent="0.3">
      <c r="A22" t="s">
        <v>50</v>
      </c>
      <c r="B22" t="s">
        <v>9</v>
      </c>
      <c r="C22" t="s">
        <v>10</v>
      </c>
      <c r="D22" t="s">
        <v>33</v>
      </c>
      <c r="E22">
        <v>8047.03</v>
      </c>
      <c r="F22">
        <v>2</v>
      </c>
      <c r="G22">
        <v>16094.06</v>
      </c>
      <c r="H22" s="1">
        <v>46297</v>
      </c>
      <c r="I22" t="s">
        <v>22</v>
      </c>
    </row>
    <row r="23" spans="1:9" x14ac:dyDescent="0.3">
      <c r="A23" t="s">
        <v>51</v>
      </c>
      <c r="B23" t="s">
        <v>38</v>
      </c>
      <c r="C23" t="s">
        <v>39</v>
      </c>
      <c r="D23" t="s">
        <v>47</v>
      </c>
      <c r="E23">
        <v>5964.43</v>
      </c>
      <c r="F23">
        <v>2</v>
      </c>
      <c r="G23">
        <v>11928.86</v>
      </c>
      <c r="H23" s="1">
        <v>46237</v>
      </c>
      <c r="I23" t="s">
        <v>27</v>
      </c>
    </row>
    <row r="24" spans="1:9" x14ac:dyDescent="0.3">
      <c r="A24" t="s">
        <v>52</v>
      </c>
      <c r="B24" t="s">
        <v>29</v>
      </c>
      <c r="C24" t="s">
        <v>30</v>
      </c>
      <c r="D24" t="s">
        <v>33</v>
      </c>
      <c r="E24">
        <v>9642.58</v>
      </c>
      <c r="F24">
        <v>4</v>
      </c>
      <c r="G24">
        <v>38570.32</v>
      </c>
      <c r="H24" s="1">
        <v>46306</v>
      </c>
      <c r="I24" t="s">
        <v>27</v>
      </c>
    </row>
    <row r="25" spans="1:9" x14ac:dyDescent="0.3">
      <c r="A25" t="s">
        <v>53</v>
      </c>
      <c r="B25" t="s">
        <v>29</v>
      </c>
      <c r="C25" t="s">
        <v>30</v>
      </c>
      <c r="D25" t="s">
        <v>16</v>
      </c>
      <c r="E25">
        <v>6977.55</v>
      </c>
      <c r="F25">
        <v>1</v>
      </c>
      <c r="G25">
        <v>6977.55</v>
      </c>
      <c r="H25" s="1">
        <v>46211</v>
      </c>
      <c r="I25" t="s">
        <v>27</v>
      </c>
    </row>
    <row r="26" spans="1:9" x14ac:dyDescent="0.3">
      <c r="A26" t="s">
        <v>54</v>
      </c>
      <c r="B26" t="s">
        <v>9</v>
      </c>
      <c r="C26" t="s">
        <v>10</v>
      </c>
      <c r="D26" t="s">
        <v>26</v>
      </c>
      <c r="E26">
        <v>16393.59</v>
      </c>
      <c r="F26">
        <v>1</v>
      </c>
      <c r="G26">
        <v>16393.59</v>
      </c>
      <c r="H26" s="1">
        <v>46336</v>
      </c>
      <c r="I26" t="s">
        <v>17</v>
      </c>
    </row>
    <row r="27" spans="1:9" x14ac:dyDescent="0.3">
      <c r="A27" t="s">
        <v>55</v>
      </c>
      <c r="B27" t="s">
        <v>24</v>
      </c>
      <c r="C27" t="s">
        <v>25</v>
      </c>
      <c r="D27" t="s">
        <v>31</v>
      </c>
      <c r="E27">
        <v>749.38</v>
      </c>
      <c r="F27">
        <v>10</v>
      </c>
      <c r="G27">
        <v>7493.8</v>
      </c>
      <c r="H27" s="1">
        <v>46343</v>
      </c>
      <c r="I27" t="s">
        <v>17</v>
      </c>
    </row>
    <row r="28" spans="1:9" x14ac:dyDescent="0.3">
      <c r="A28" t="s">
        <v>56</v>
      </c>
      <c r="B28" t="s">
        <v>14</v>
      </c>
      <c r="C28" t="s">
        <v>15</v>
      </c>
      <c r="D28" t="s">
        <v>33</v>
      </c>
      <c r="E28">
        <v>5558.59</v>
      </c>
      <c r="F28">
        <v>3</v>
      </c>
      <c r="G28">
        <v>16675.77</v>
      </c>
      <c r="H28" s="1">
        <v>46378</v>
      </c>
      <c r="I28" t="s">
        <v>12</v>
      </c>
    </row>
    <row r="29" spans="1:9" x14ac:dyDescent="0.3">
      <c r="A29" t="s">
        <v>57</v>
      </c>
      <c r="B29" t="s">
        <v>24</v>
      </c>
      <c r="C29" t="s">
        <v>25</v>
      </c>
      <c r="D29" t="s">
        <v>31</v>
      </c>
      <c r="E29">
        <v>4305.42</v>
      </c>
      <c r="F29">
        <v>1</v>
      </c>
      <c r="G29">
        <v>4305.42</v>
      </c>
      <c r="H29" s="1">
        <v>46067</v>
      </c>
      <c r="I29" t="s">
        <v>17</v>
      </c>
    </row>
    <row r="30" spans="1:9" x14ac:dyDescent="0.3">
      <c r="A30" t="s">
        <v>58</v>
      </c>
      <c r="B30" t="s">
        <v>24</v>
      </c>
      <c r="C30" t="s">
        <v>25</v>
      </c>
      <c r="D30" t="s">
        <v>47</v>
      </c>
      <c r="E30">
        <v>4859.09</v>
      </c>
      <c r="F30">
        <v>3</v>
      </c>
      <c r="G30">
        <v>14577.27</v>
      </c>
      <c r="H30" s="1">
        <v>46238</v>
      </c>
      <c r="I30" t="s">
        <v>22</v>
      </c>
    </row>
    <row r="31" spans="1:9" x14ac:dyDescent="0.3">
      <c r="A31" t="s">
        <v>59</v>
      </c>
      <c r="B31" t="s">
        <v>20</v>
      </c>
      <c r="C31" t="s">
        <v>21</v>
      </c>
      <c r="D31" t="s">
        <v>31</v>
      </c>
      <c r="E31">
        <v>1921.04</v>
      </c>
      <c r="F31">
        <v>6</v>
      </c>
      <c r="G31">
        <v>11526.24</v>
      </c>
      <c r="H31" s="1">
        <v>46064</v>
      </c>
      <c r="I31" t="s">
        <v>22</v>
      </c>
    </row>
    <row r="32" spans="1:9" x14ac:dyDescent="0.3">
      <c r="A32" t="s">
        <v>60</v>
      </c>
      <c r="B32" t="s">
        <v>9</v>
      </c>
      <c r="C32" t="s">
        <v>10</v>
      </c>
      <c r="D32" t="s">
        <v>16</v>
      </c>
      <c r="E32">
        <v>9541.9</v>
      </c>
      <c r="F32">
        <v>2</v>
      </c>
      <c r="G32">
        <v>19083.8</v>
      </c>
      <c r="H32" s="1">
        <v>46106</v>
      </c>
      <c r="I32" t="s">
        <v>27</v>
      </c>
    </row>
    <row r="33" spans="1:9" x14ac:dyDescent="0.3">
      <c r="A33" t="s">
        <v>61</v>
      </c>
      <c r="B33" t="s">
        <v>29</v>
      </c>
      <c r="C33" t="s">
        <v>30</v>
      </c>
      <c r="D33" t="s">
        <v>26</v>
      </c>
      <c r="E33">
        <v>4158.41</v>
      </c>
      <c r="F33">
        <v>2</v>
      </c>
      <c r="G33">
        <v>8316.82</v>
      </c>
      <c r="H33" s="1">
        <v>46132</v>
      </c>
      <c r="I33" t="s">
        <v>17</v>
      </c>
    </row>
    <row r="34" spans="1:9" x14ac:dyDescent="0.3">
      <c r="A34" t="s">
        <v>62</v>
      </c>
      <c r="B34" t="s">
        <v>38</v>
      </c>
      <c r="C34" t="s">
        <v>39</v>
      </c>
      <c r="D34" t="s">
        <v>16</v>
      </c>
      <c r="E34">
        <v>3270.53</v>
      </c>
      <c r="F34">
        <v>4</v>
      </c>
      <c r="G34">
        <v>13082.12</v>
      </c>
      <c r="H34" s="1">
        <v>46258</v>
      </c>
      <c r="I34" t="s">
        <v>17</v>
      </c>
    </row>
    <row r="35" spans="1:9" x14ac:dyDescent="0.3">
      <c r="A35" t="s">
        <v>63</v>
      </c>
      <c r="B35" t="s">
        <v>38</v>
      </c>
      <c r="C35" t="s">
        <v>39</v>
      </c>
      <c r="D35" t="s">
        <v>33</v>
      </c>
      <c r="E35">
        <v>4833.03</v>
      </c>
      <c r="F35">
        <v>2</v>
      </c>
      <c r="G35">
        <v>9666.06</v>
      </c>
      <c r="H35" s="1">
        <v>46180</v>
      </c>
      <c r="I35" t="s">
        <v>17</v>
      </c>
    </row>
    <row r="36" spans="1:9" x14ac:dyDescent="0.3">
      <c r="A36" t="s">
        <v>64</v>
      </c>
      <c r="B36" t="s">
        <v>14</v>
      </c>
      <c r="C36" t="s">
        <v>15</v>
      </c>
      <c r="D36" t="s">
        <v>31</v>
      </c>
      <c r="E36">
        <v>4927.55</v>
      </c>
      <c r="F36">
        <v>9</v>
      </c>
      <c r="G36">
        <v>44347.95</v>
      </c>
      <c r="H36" s="1">
        <v>46338</v>
      </c>
      <c r="I36" t="s">
        <v>27</v>
      </c>
    </row>
    <row r="37" spans="1:9" x14ac:dyDescent="0.3">
      <c r="A37" t="s">
        <v>65</v>
      </c>
      <c r="B37" t="s">
        <v>24</v>
      </c>
      <c r="C37" t="s">
        <v>25</v>
      </c>
      <c r="D37" t="s">
        <v>26</v>
      </c>
      <c r="E37">
        <v>35598.83</v>
      </c>
      <c r="F37">
        <v>2</v>
      </c>
      <c r="G37">
        <v>71197.66</v>
      </c>
      <c r="H37" s="1">
        <v>46131</v>
      </c>
      <c r="I37" t="s">
        <v>12</v>
      </c>
    </row>
    <row r="38" spans="1:9" x14ac:dyDescent="0.3">
      <c r="A38" t="s">
        <v>66</v>
      </c>
      <c r="B38" t="s">
        <v>24</v>
      </c>
      <c r="C38" t="s">
        <v>25</v>
      </c>
      <c r="D38" t="s">
        <v>31</v>
      </c>
      <c r="E38">
        <v>3108.04</v>
      </c>
      <c r="F38">
        <v>10</v>
      </c>
      <c r="G38">
        <v>31080.400000000001</v>
      </c>
      <c r="H38" s="1">
        <v>46248</v>
      </c>
      <c r="I38" t="s">
        <v>12</v>
      </c>
    </row>
    <row r="39" spans="1:9" x14ac:dyDescent="0.3">
      <c r="A39" t="s">
        <v>67</v>
      </c>
      <c r="B39" t="s">
        <v>14</v>
      </c>
      <c r="C39" t="s">
        <v>15</v>
      </c>
      <c r="D39" t="s">
        <v>31</v>
      </c>
      <c r="E39">
        <v>74.680000000000007</v>
      </c>
      <c r="F39">
        <v>1</v>
      </c>
      <c r="G39">
        <v>74.680000000000007</v>
      </c>
      <c r="H39" s="1">
        <v>46301</v>
      </c>
      <c r="I39" t="s">
        <v>27</v>
      </c>
    </row>
    <row r="40" spans="1:9" x14ac:dyDescent="0.3">
      <c r="A40" t="s">
        <v>68</v>
      </c>
      <c r="B40" t="s">
        <v>38</v>
      </c>
      <c r="C40" t="s">
        <v>39</v>
      </c>
      <c r="D40" t="s">
        <v>16</v>
      </c>
      <c r="E40">
        <v>2456.4299999999998</v>
      </c>
      <c r="F40">
        <v>2</v>
      </c>
      <c r="G40">
        <v>4912.8599999999997</v>
      </c>
      <c r="H40" s="1">
        <v>46380</v>
      </c>
      <c r="I40" t="s">
        <v>22</v>
      </c>
    </row>
    <row r="41" spans="1:9" x14ac:dyDescent="0.3">
      <c r="A41" t="s">
        <v>69</v>
      </c>
      <c r="B41" t="s">
        <v>20</v>
      </c>
      <c r="C41" t="s">
        <v>21</v>
      </c>
      <c r="D41" t="s">
        <v>11</v>
      </c>
      <c r="E41">
        <v>47957.16</v>
      </c>
      <c r="F41">
        <v>3</v>
      </c>
      <c r="G41">
        <v>143871.48000000001</v>
      </c>
      <c r="H41" s="1">
        <v>46112</v>
      </c>
      <c r="I41" t="s">
        <v>12</v>
      </c>
    </row>
    <row r="42" spans="1:9" x14ac:dyDescent="0.3">
      <c r="A42" t="s">
        <v>70</v>
      </c>
      <c r="B42" t="s">
        <v>14</v>
      </c>
      <c r="C42" t="s">
        <v>15</v>
      </c>
      <c r="D42" t="s">
        <v>11</v>
      </c>
      <c r="E42">
        <v>28975.17</v>
      </c>
      <c r="F42">
        <v>3</v>
      </c>
      <c r="G42">
        <v>86925.51</v>
      </c>
      <c r="H42" s="1">
        <v>46290</v>
      </c>
      <c r="I42" t="s">
        <v>27</v>
      </c>
    </row>
    <row r="43" spans="1:9" x14ac:dyDescent="0.3">
      <c r="A43" t="s">
        <v>71</v>
      </c>
      <c r="B43" t="s">
        <v>9</v>
      </c>
      <c r="C43" t="s">
        <v>10</v>
      </c>
      <c r="D43" t="s">
        <v>26</v>
      </c>
      <c r="E43">
        <v>46289.74</v>
      </c>
      <c r="F43">
        <v>1</v>
      </c>
      <c r="G43">
        <v>46289.74</v>
      </c>
      <c r="H43" s="1">
        <v>46053</v>
      </c>
      <c r="I43" t="s">
        <v>12</v>
      </c>
    </row>
    <row r="44" spans="1:9" x14ac:dyDescent="0.3">
      <c r="A44" t="s">
        <v>72</v>
      </c>
      <c r="B44" t="s">
        <v>20</v>
      </c>
      <c r="C44" t="s">
        <v>21</v>
      </c>
      <c r="D44" t="s">
        <v>26</v>
      </c>
      <c r="E44">
        <v>38471.49</v>
      </c>
      <c r="F44">
        <v>3</v>
      </c>
      <c r="G44">
        <v>115414.47</v>
      </c>
      <c r="H44" s="1">
        <v>46221</v>
      </c>
      <c r="I44" t="s">
        <v>22</v>
      </c>
    </row>
    <row r="45" spans="1:9" x14ac:dyDescent="0.3">
      <c r="A45" t="s">
        <v>73</v>
      </c>
      <c r="B45" t="s">
        <v>38</v>
      </c>
      <c r="C45" t="s">
        <v>39</v>
      </c>
      <c r="D45" t="s">
        <v>26</v>
      </c>
      <c r="E45">
        <v>22921.82</v>
      </c>
      <c r="F45">
        <v>1</v>
      </c>
      <c r="G45">
        <v>22921.82</v>
      </c>
      <c r="H45" s="1">
        <v>46174</v>
      </c>
      <c r="I45" t="s">
        <v>12</v>
      </c>
    </row>
    <row r="46" spans="1:9" x14ac:dyDescent="0.3">
      <c r="A46" t="s">
        <v>74</v>
      </c>
      <c r="B46" t="s">
        <v>9</v>
      </c>
      <c r="C46" t="s">
        <v>10</v>
      </c>
      <c r="D46" t="s">
        <v>11</v>
      </c>
      <c r="E46">
        <v>56414.01</v>
      </c>
      <c r="F46">
        <v>2</v>
      </c>
      <c r="G46">
        <v>112828.02</v>
      </c>
      <c r="H46" s="1">
        <v>46372</v>
      </c>
      <c r="I46" t="s">
        <v>12</v>
      </c>
    </row>
    <row r="47" spans="1:9" x14ac:dyDescent="0.3">
      <c r="A47" t="s">
        <v>75</v>
      </c>
      <c r="B47" t="s">
        <v>9</v>
      </c>
      <c r="C47" t="s">
        <v>10</v>
      </c>
      <c r="D47" t="s">
        <v>31</v>
      </c>
      <c r="E47">
        <v>4878.25</v>
      </c>
      <c r="F47">
        <v>4</v>
      </c>
      <c r="G47">
        <v>19513</v>
      </c>
      <c r="H47" s="1">
        <v>46305</v>
      </c>
      <c r="I47" t="s">
        <v>27</v>
      </c>
    </row>
    <row r="48" spans="1:9" x14ac:dyDescent="0.3">
      <c r="A48" t="s">
        <v>76</v>
      </c>
      <c r="B48" t="s">
        <v>38</v>
      </c>
      <c r="C48" t="s">
        <v>39</v>
      </c>
      <c r="D48" t="s">
        <v>11</v>
      </c>
      <c r="E48">
        <v>35004.78</v>
      </c>
      <c r="F48">
        <v>2</v>
      </c>
      <c r="G48">
        <v>70009.56</v>
      </c>
      <c r="H48" s="1">
        <v>46361</v>
      </c>
      <c r="I48" t="s">
        <v>17</v>
      </c>
    </row>
    <row r="49" spans="1:9" x14ac:dyDescent="0.3">
      <c r="A49" t="s">
        <v>77</v>
      </c>
      <c r="B49" t="s">
        <v>38</v>
      </c>
      <c r="C49" t="s">
        <v>39</v>
      </c>
      <c r="D49" t="s">
        <v>47</v>
      </c>
      <c r="E49">
        <v>5175.95</v>
      </c>
      <c r="F49">
        <v>5</v>
      </c>
      <c r="G49">
        <v>25879.75</v>
      </c>
      <c r="H49" s="1">
        <v>46333</v>
      </c>
      <c r="I49" t="s">
        <v>22</v>
      </c>
    </row>
    <row r="50" spans="1:9" x14ac:dyDescent="0.3">
      <c r="A50" t="s">
        <v>78</v>
      </c>
      <c r="B50" t="s">
        <v>20</v>
      </c>
      <c r="C50" t="s">
        <v>21</v>
      </c>
      <c r="D50" t="s">
        <v>47</v>
      </c>
      <c r="E50">
        <v>7357.45</v>
      </c>
      <c r="F50">
        <v>4</v>
      </c>
      <c r="G50">
        <v>29429.8</v>
      </c>
      <c r="H50" s="1">
        <v>46172</v>
      </c>
      <c r="I50" t="s">
        <v>27</v>
      </c>
    </row>
    <row r="51" spans="1:9" x14ac:dyDescent="0.3">
      <c r="A51" t="s">
        <v>79</v>
      </c>
      <c r="B51" t="s">
        <v>24</v>
      </c>
      <c r="C51" t="s">
        <v>25</v>
      </c>
      <c r="D51" t="s">
        <v>31</v>
      </c>
      <c r="E51">
        <v>1280.94</v>
      </c>
      <c r="F51">
        <v>8</v>
      </c>
      <c r="G51">
        <v>10247.52</v>
      </c>
      <c r="H51" s="1">
        <v>46290</v>
      </c>
      <c r="I51" t="s">
        <v>17</v>
      </c>
    </row>
    <row r="52" spans="1:9" x14ac:dyDescent="0.3">
      <c r="A52" t="s">
        <v>80</v>
      </c>
      <c r="B52" t="s">
        <v>24</v>
      </c>
      <c r="C52" t="s">
        <v>25</v>
      </c>
      <c r="D52" t="s">
        <v>26</v>
      </c>
      <c r="E52">
        <v>44441.34</v>
      </c>
      <c r="F52">
        <v>1</v>
      </c>
      <c r="G52">
        <v>44441.34</v>
      </c>
      <c r="H52" s="1">
        <v>46034</v>
      </c>
      <c r="I52" t="s">
        <v>12</v>
      </c>
    </row>
    <row r="53" spans="1:9" x14ac:dyDescent="0.3">
      <c r="A53" t="s">
        <v>81</v>
      </c>
      <c r="B53" t="s">
        <v>24</v>
      </c>
      <c r="C53" t="s">
        <v>25</v>
      </c>
      <c r="D53" t="s">
        <v>11</v>
      </c>
      <c r="E53">
        <v>8037.82</v>
      </c>
      <c r="F53">
        <v>3</v>
      </c>
      <c r="G53">
        <v>24113.46</v>
      </c>
      <c r="H53" s="1">
        <v>46226</v>
      </c>
      <c r="I53" t="s">
        <v>27</v>
      </c>
    </row>
    <row r="54" spans="1:9" x14ac:dyDescent="0.3">
      <c r="A54" t="s">
        <v>82</v>
      </c>
      <c r="B54" t="s">
        <v>9</v>
      </c>
      <c r="C54" t="s">
        <v>10</v>
      </c>
      <c r="D54" t="s">
        <v>31</v>
      </c>
      <c r="E54">
        <v>3259.82</v>
      </c>
      <c r="F54">
        <v>5</v>
      </c>
      <c r="G54">
        <v>16299.1</v>
      </c>
      <c r="H54" s="1">
        <v>46040</v>
      </c>
      <c r="I54" t="s">
        <v>17</v>
      </c>
    </row>
    <row r="55" spans="1:9" x14ac:dyDescent="0.3">
      <c r="A55" t="s">
        <v>83</v>
      </c>
      <c r="B55" t="s">
        <v>20</v>
      </c>
      <c r="C55" t="s">
        <v>21</v>
      </c>
      <c r="D55" t="s">
        <v>11</v>
      </c>
      <c r="E55">
        <v>58886.59</v>
      </c>
      <c r="F55">
        <v>2</v>
      </c>
      <c r="G55">
        <v>117773.18</v>
      </c>
      <c r="H55" s="1">
        <v>46287</v>
      </c>
      <c r="I55" t="s">
        <v>12</v>
      </c>
    </row>
    <row r="56" spans="1:9" x14ac:dyDescent="0.3">
      <c r="A56" t="s">
        <v>84</v>
      </c>
      <c r="B56" t="s">
        <v>20</v>
      </c>
      <c r="C56" t="s">
        <v>21</v>
      </c>
      <c r="D56" t="s">
        <v>31</v>
      </c>
      <c r="E56">
        <v>3092.3</v>
      </c>
      <c r="F56">
        <v>7</v>
      </c>
      <c r="G56">
        <v>21646.1</v>
      </c>
      <c r="H56" s="1">
        <v>46375</v>
      </c>
      <c r="I56" t="s">
        <v>17</v>
      </c>
    </row>
    <row r="57" spans="1:9" x14ac:dyDescent="0.3">
      <c r="A57" t="s">
        <v>85</v>
      </c>
      <c r="B57" t="s">
        <v>9</v>
      </c>
      <c r="C57" t="s">
        <v>10</v>
      </c>
      <c r="D57" t="s">
        <v>26</v>
      </c>
      <c r="E57">
        <v>25281.21</v>
      </c>
      <c r="F57">
        <v>2</v>
      </c>
      <c r="G57">
        <v>50562.42</v>
      </c>
      <c r="H57" s="1">
        <v>46271</v>
      </c>
      <c r="I57" t="s">
        <v>17</v>
      </c>
    </row>
    <row r="58" spans="1:9" x14ac:dyDescent="0.3">
      <c r="A58" t="s">
        <v>86</v>
      </c>
      <c r="B58" t="s">
        <v>14</v>
      </c>
      <c r="C58" t="s">
        <v>15</v>
      </c>
      <c r="D58" t="s">
        <v>33</v>
      </c>
      <c r="E58">
        <v>12461.74</v>
      </c>
      <c r="F58">
        <v>3</v>
      </c>
      <c r="G58">
        <v>37385.22</v>
      </c>
      <c r="H58" s="1">
        <v>46329</v>
      </c>
      <c r="I58" t="s">
        <v>12</v>
      </c>
    </row>
    <row r="59" spans="1:9" x14ac:dyDescent="0.3">
      <c r="A59" t="s">
        <v>87</v>
      </c>
      <c r="B59" t="s">
        <v>14</v>
      </c>
      <c r="C59" t="s">
        <v>15</v>
      </c>
      <c r="D59" t="s">
        <v>11</v>
      </c>
      <c r="E59">
        <v>12053.45</v>
      </c>
      <c r="F59">
        <v>2</v>
      </c>
      <c r="G59">
        <v>24106.9</v>
      </c>
      <c r="H59" s="1">
        <v>46108</v>
      </c>
      <c r="I59" t="s">
        <v>17</v>
      </c>
    </row>
    <row r="60" spans="1:9" x14ac:dyDescent="0.3">
      <c r="A60" t="s">
        <v>88</v>
      </c>
      <c r="B60" t="s">
        <v>24</v>
      </c>
      <c r="C60" t="s">
        <v>25</v>
      </c>
      <c r="D60" t="s">
        <v>16</v>
      </c>
      <c r="E60">
        <v>2822.18</v>
      </c>
      <c r="F60">
        <v>4</v>
      </c>
      <c r="G60">
        <v>11288.72</v>
      </c>
      <c r="H60" s="1">
        <v>46385</v>
      </c>
      <c r="I60" t="s">
        <v>27</v>
      </c>
    </row>
    <row r="61" spans="1:9" x14ac:dyDescent="0.3">
      <c r="A61" t="s">
        <v>89</v>
      </c>
      <c r="B61" t="s">
        <v>24</v>
      </c>
      <c r="C61" t="s">
        <v>25</v>
      </c>
      <c r="D61" t="s">
        <v>26</v>
      </c>
      <c r="E61">
        <v>14225.07</v>
      </c>
      <c r="F61">
        <v>3</v>
      </c>
      <c r="G61">
        <v>42675.21</v>
      </c>
      <c r="H61" s="1">
        <v>46224</v>
      </c>
      <c r="I61" t="s">
        <v>27</v>
      </c>
    </row>
    <row r="62" spans="1:9" x14ac:dyDescent="0.3">
      <c r="A62" t="s">
        <v>90</v>
      </c>
      <c r="B62" t="s">
        <v>20</v>
      </c>
      <c r="C62" t="s">
        <v>21</v>
      </c>
      <c r="D62" t="s">
        <v>33</v>
      </c>
      <c r="E62">
        <v>12076.25</v>
      </c>
      <c r="F62">
        <v>2</v>
      </c>
      <c r="G62">
        <v>24152.5</v>
      </c>
      <c r="H62" s="1">
        <v>46269</v>
      </c>
      <c r="I62" t="s">
        <v>12</v>
      </c>
    </row>
    <row r="63" spans="1:9" x14ac:dyDescent="0.3">
      <c r="A63" t="s">
        <v>91</v>
      </c>
      <c r="B63" t="s">
        <v>14</v>
      </c>
      <c r="C63" t="s">
        <v>15</v>
      </c>
      <c r="D63" t="s">
        <v>26</v>
      </c>
      <c r="E63">
        <v>22653.15</v>
      </c>
      <c r="F63">
        <v>2</v>
      </c>
      <c r="G63">
        <v>45306.3</v>
      </c>
      <c r="H63" s="1">
        <v>46304</v>
      </c>
      <c r="I63" t="s">
        <v>27</v>
      </c>
    </row>
    <row r="64" spans="1:9" x14ac:dyDescent="0.3">
      <c r="A64" t="s">
        <v>92</v>
      </c>
      <c r="B64" t="s">
        <v>14</v>
      </c>
      <c r="C64" t="s">
        <v>15</v>
      </c>
      <c r="D64" t="s">
        <v>31</v>
      </c>
      <c r="E64">
        <v>1260.1600000000001</v>
      </c>
      <c r="F64">
        <v>2</v>
      </c>
      <c r="G64">
        <v>2520.3200000000002</v>
      </c>
      <c r="H64" s="1">
        <v>46256</v>
      </c>
      <c r="I64" t="s">
        <v>17</v>
      </c>
    </row>
    <row r="65" spans="1:9" x14ac:dyDescent="0.3">
      <c r="A65" t="s">
        <v>93</v>
      </c>
      <c r="B65" t="s">
        <v>9</v>
      </c>
      <c r="C65" t="s">
        <v>10</v>
      </c>
      <c r="D65" t="s">
        <v>26</v>
      </c>
      <c r="E65">
        <v>44257.66</v>
      </c>
      <c r="F65">
        <v>2</v>
      </c>
      <c r="G65">
        <v>88515.32</v>
      </c>
      <c r="H65" s="1">
        <v>46138</v>
      </c>
      <c r="I65" t="s">
        <v>27</v>
      </c>
    </row>
    <row r="66" spans="1:9" x14ac:dyDescent="0.3">
      <c r="A66" t="s">
        <v>94</v>
      </c>
      <c r="B66" t="s">
        <v>20</v>
      </c>
      <c r="C66" t="s">
        <v>21</v>
      </c>
      <c r="D66" t="s">
        <v>31</v>
      </c>
      <c r="E66">
        <v>1900.91</v>
      </c>
      <c r="F66">
        <v>8</v>
      </c>
      <c r="G66">
        <v>15207.28</v>
      </c>
      <c r="H66" s="1">
        <v>46246</v>
      </c>
      <c r="I66" t="s">
        <v>17</v>
      </c>
    </row>
    <row r="67" spans="1:9" x14ac:dyDescent="0.3">
      <c r="A67" t="s">
        <v>95</v>
      </c>
      <c r="B67" t="s">
        <v>14</v>
      </c>
      <c r="C67" t="s">
        <v>15</v>
      </c>
      <c r="D67" t="s">
        <v>33</v>
      </c>
      <c r="E67">
        <v>9086.82</v>
      </c>
      <c r="F67">
        <v>3</v>
      </c>
      <c r="G67">
        <v>27260.46</v>
      </c>
      <c r="H67" s="1">
        <v>46261</v>
      </c>
      <c r="I67" t="s">
        <v>12</v>
      </c>
    </row>
    <row r="68" spans="1:9" x14ac:dyDescent="0.3">
      <c r="A68" t="s">
        <v>96</v>
      </c>
      <c r="B68" t="s">
        <v>14</v>
      </c>
      <c r="C68" t="s">
        <v>15</v>
      </c>
      <c r="D68" t="s">
        <v>31</v>
      </c>
      <c r="E68">
        <v>2078.02</v>
      </c>
      <c r="F68">
        <v>3</v>
      </c>
      <c r="G68">
        <v>6234.06</v>
      </c>
      <c r="H68" s="1">
        <v>46335</v>
      </c>
      <c r="I68" t="s">
        <v>17</v>
      </c>
    </row>
    <row r="69" spans="1:9" x14ac:dyDescent="0.3">
      <c r="A69" t="s">
        <v>97</v>
      </c>
      <c r="B69" t="s">
        <v>38</v>
      </c>
      <c r="C69" t="s">
        <v>39</v>
      </c>
      <c r="D69" t="s">
        <v>26</v>
      </c>
      <c r="E69">
        <v>9915.2000000000007</v>
      </c>
      <c r="F69">
        <v>2</v>
      </c>
      <c r="G69">
        <v>19830.400000000001</v>
      </c>
      <c r="H69" s="1">
        <v>46198</v>
      </c>
      <c r="I69" t="s">
        <v>12</v>
      </c>
    </row>
    <row r="70" spans="1:9" x14ac:dyDescent="0.3">
      <c r="A70" t="s">
        <v>98</v>
      </c>
      <c r="B70" t="s">
        <v>24</v>
      </c>
      <c r="C70" t="s">
        <v>25</v>
      </c>
      <c r="D70" t="s">
        <v>11</v>
      </c>
      <c r="E70">
        <v>55086.720000000001</v>
      </c>
      <c r="F70">
        <v>3</v>
      </c>
      <c r="G70">
        <v>165260.16</v>
      </c>
      <c r="H70" s="1">
        <v>46206</v>
      </c>
      <c r="I70" t="s">
        <v>27</v>
      </c>
    </row>
    <row r="71" spans="1:9" x14ac:dyDescent="0.3">
      <c r="A71" t="s">
        <v>99</v>
      </c>
      <c r="B71" t="s">
        <v>14</v>
      </c>
      <c r="C71" t="s">
        <v>15</v>
      </c>
      <c r="D71" t="s">
        <v>31</v>
      </c>
      <c r="E71">
        <v>2269.87</v>
      </c>
      <c r="F71">
        <v>2</v>
      </c>
      <c r="G71">
        <v>4539.74</v>
      </c>
      <c r="H71" s="1">
        <v>46206</v>
      </c>
      <c r="I71" t="s">
        <v>17</v>
      </c>
    </row>
    <row r="72" spans="1:9" x14ac:dyDescent="0.3">
      <c r="A72" t="s">
        <v>100</v>
      </c>
      <c r="B72" t="s">
        <v>24</v>
      </c>
      <c r="C72" t="s">
        <v>25</v>
      </c>
      <c r="D72" t="s">
        <v>33</v>
      </c>
      <c r="E72">
        <v>620.27</v>
      </c>
      <c r="F72">
        <v>1</v>
      </c>
      <c r="G72">
        <v>620.27</v>
      </c>
      <c r="H72" s="1">
        <v>46064</v>
      </c>
      <c r="I72" t="s">
        <v>12</v>
      </c>
    </row>
    <row r="73" spans="1:9" x14ac:dyDescent="0.3">
      <c r="A73" t="s">
        <v>101</v>
      </c>
      <c r="B73" t="s">
        <v>14</v>
      </c>
      <c r="C73" t="s">
        <v>15</v>
      </c>
      <c r="D73" t="s">
        <v>26</v>
      </c>
      <c r="E73">
        <v>48236.67</v>
      </c>
      <c r="F73">
        <v>2</v>
      </c>
      <c r="G73">
        <v>96473.34</v>
      </c>
      <c r="H73" s="1">
        <v>46055</v>
      </c>
      <c r="I73" t="s">
        <v>17</v>
      </c>
    </row>
    <row r="74" spans="1:9" x14ac:dyDescent="0.3">
      <c r="A74" t="s">
        <v>102</v>
      </c>
      <c r="B74" t="s">
        <v>9</v>
      </c>
      <c r="C74" t="s">
        <v>10</v>
      </c>
      <c r="D74" t="s">
        <v>16</v>
      </c>
      <c r="E74">
        <v>9844.43</v>
      </c>
      <c r="F74">
        <v>4</v>
      </c>
      <c r="G74">
        <v>39377.72</v>
      </c>
      <c r="H74" s="1">
        <v>46030</v>
      </c>
      <c r="I74" t="s">
        <v>27</v>
      </c>
    </row>
    <row r="75" spans="1:9" x14ac:dyDescent="0.3">
      <c r="A75" t="s">
        <v>103</v>
      </c>
      <c r="B75" t="s">
        <v>38</v>
      </c>
      <c r="C75" t="s">
        <v>39</v>
      </c>
      <c r="D75" t="s">
        <v>33</v>
      </c>
      <c r="E75">
        <v>14554.12</v>
      </c>
      <c r="F75">
        <v>2</v>
      </c>
      <c r="G75">
        <v>29108.240000000002</v>
      </c>
      <c r="H75" s="1">
        <v>46266</v>
      </c>
      <c r="I75" t="s">
        <v>12</v>
      </c>
    </row>
    <row r="76" spans="1:9" x14ac:dyDescent="0.3">
      <c r="A76" t="s">
        <v>104</v>
      </c>
      <c r="B76" t="s">
        <v>24</v>
      </c>
      <c r="C76" t="s">
        <v>25</v>
      </c>
      <c r="D76" t="s">
        <v>47</v>
      </c>
      <c r="E76">
        <v>6965.83</v>
      </c>
      <c r="F76">
        <v>5</v>
      </c>
      <c r="G76">
        <v>34829.15</v>
      </c>
      <c r="H76" s="1">
        <v>46175</v>
      </c>
      <c r="I76" t="s">
        <v>17</v>
      </c>
    </row>
    <row r="77" spans="1:9" x14ac:dyDescent="0.3">
      <c r="A77" t="s">
        <v>105</v>
      </c>
      <c r="B77" t="s">
        <v>38</v>
      </c>
      <c r="C77" t="s">
        <v>39</v>
      </c>
      <c r="D77" t="s">
        <v>31</v>
      </c>
      <c r="E77">
        <v>4538.7</v>
      </c>
      <c r="F77">
        <v>9</v>
      </c>
      <c r="G77">
        <v>40848.300000000003</v>
      </c>
      <c r="H77" s="1">
        <v>46338</v>
      </c>
      <c r="I77" t="s">
        <v>22</v>
      </c>
    </row>
    <row r="78" spans="1:9" x14ac:dyDescent="0.3">
      <c r="A78" t="s">
        <v>106</v>
      </c>
      <c r="B78" t="s">
        <v>38</v>
      </c>
      <c r="C78" t="s">
        <v>39</v>
      </c>
      <c r="D78" t="s">
        <v>16</v>
      </c>
      <c r="E78">
        <v>4248.63</v>
      </c>
      <c r="F78">
        <v>3</v>
      </c>
      <c r="G78">
        <v>12745.89</v>
      </c>
      <c r="H78" s="1">
        <v>46279</v>
      </c>
      <c r="I78" t="s">
        <v>12</v>
      </c>
    </row>
    <row r="79" spans="1:9" x14ac:dyDescent="0.3">
      <c r="A79" t="s">
        <v>107</v>
      </c>
      <c r="B79" t="s">
        <v>20</v>
      </c>
      <c r="C79" t="s">
        <v>21</v>
      </c>
      <c r="D79" t="s">
        <v>16</v>
      </c>
      <c r="E79">
        <v>7448.22</v>
      </c>
      <c r="F79">
        <v>2</v>
      </c>
      <c r="G79">
        <v>14896.44</v>
      </c>
      <c r="H79" s="1">
        <v>46074</v>
      </c>
      <c r="I79" t="s">
        <v>27</v>
      </c>
    </row>
    <row r="80" spans="1:9" x14ac:dyDescent="0.3">
      <c r="A80" t="s">
        <v>108</v>
      </c>
      <c r="B80" t="s">
        <v>14</v>
      </c>
      <c r="C80" t="s">
        <v>15</v>
      </c>
      <c r="D80" t="s">
        <v>26</v>
      </c>
      <c r="E80">
        <v>30831.58</v>
      </c>
      <c r="F80">
        <v>1</v>
      </c>
      <c r="G80">
        <v>30831.58</v>
      </c>
      <c r="H80" s="1">
        <v>46059</v>
      </c>
      <c r="I80" t="s">
        <v>17</v>
      </c>
    </row>
    <row r="81" spans="1:9" x14ac:dyDescent="0.3">
      <c r="A81" t="s">
        <v>109</v>
      </c>
      <c r="B81" t="s">
        <v>9</v>
      </c>
      <c r="C81" t="s">
        <v>10</v>
      </c>
      <c r="D81" t="s">
        <v>31</v>
      </c>
      <c r="E81">
        <v>1373.13</v>
      </c>
      <c r="F81">
        <v>9</v>
      </c>
      <c r="G81">
        <v>12358.17</v>
      </c>
      <c r="H81" s="1">
        <v>46156</v>
      </c>
      <c r="I81" t="s">
        <v>27</v>
      </c>
    </row>
    <row r="82" spans="1:9" x14ac:dyDescent="0.3">
      <c r="A82" t="s">
        <v>110</v>
      </c>
      <c r="B82" t="s">
        <v>20</v>
      </c>
      <c r="C82" t="s">
        <v>21</v>
      </c>
      <c r="D82" t="s">
        <v>31</v>
      </c>
      <c r="E82">
        <v>1148.6600000000001</v>
      </c>
      <c r="F82">
        <v>9</v>
      </c>
      <c r="G82">
        <v>10337.94</v>
      </c>
      <c r="H82" s="1">
        <v>46359</v>
      </c>
      <c r="I82" t="s">
        <v>17</v>
      </c>
    </row>
    <row r="83" spans="1:9" x14ac:dyDescent="0.3">
      <c r="A83" t="s">
        <v>111</v>
      </c>
      <c r="B83" t="s">
        <v>14</v>
      </c>
      <c r="C83" t="s">
        <v>15</v>
      </c>
      <c r="D83" t="s">
        <v>33</v>
      </c>
      <c r="E83">
        <v>2543.9699999999998</v>
      </c>
      <c r="F83">
        <v>2</v>
      </c>
      <c r="G83">
        <v>5087.9399999999996</v>
      </c>
      <c r="H83" s="1">
        <v>46040</v>
      </c>
      <c r="I83" t="s">
        <v>27</v>
      </c>
    </row>
    <row r="84" spans="1:9" x14ac:dyDescent="0.3">
      <c r="A84" t="s">
        <v>112</v>
      </c>
      <c r="B84" t="s">
        <v>9</v>
      </c>
      <c r="C84" t="s">
        <v>10</v>
      </c>
      <c r="D84" t="s">
        <v>33</v>
      </c>
      <c r="E84">
        <v>13288.49</v>
      </c>
      <c r="F84">
        <v>3</v>
      </c>
      <c r="G84">
        <v>39865.47</v>
      </c>
      <c r="H84" s="1">
        <v>46091</v>
      </c>
      <c r="I84" t="s">
        <v>22</v>
      </c>
    </row>
    <row r="85" spans="1:9" x14ac:dyDescent="0.3">
      <c r="A85" t="s">
        <v>113</v>
      </c>
      <c r="B85" t="s">
        <v>24</v>
      </c>
      <c r="C85" t="s">
        <v>25</v>
      </c>
      <c r="D85" t="s">
        <v>47</v>
      </c>
      <c r="E85">
        <v>6269.26</v>
      </c>
      <c r="F85">
        <v>4</v>
      </c>
      <c r="G85">
        <v>25077.040000000001</v>
      </c>
      <c r="H85" s="1">
        <v>46033</v>
      </c>
      <c r="I85" t="s">
        <v>27</v>
      </c>
    </row>
    <row r="86" spans="1:9" x14ac:dyDescent="0.3">
      <c r="A86" t="s">
        <v>114</v>
      </c>
      <c r="B86" t="s">
        <v>24</v>
      </c>
      <c r="C86" t="s">
        <v>25</v>
      </c>
      <c r="D86" t="s">
        <v>33</v>
      </c>
      <c r="E86">
        <v>15290.77</v>
      </c>
      <c r="F86">
        <v>3</v>
      </c>
      <c r="G86">
        <v>45872.31</v>
      </c>
      <c r="H86" s="1">
        <v>46173</v>
      </c>
      <c r="I86" t="s">
        <v>22</v>
      </c>
    </row>
    <row r="87" spans="1:9" x14ac:dyDescent="0.3">
      <c r="A87" t="s">
        <v>115</v>
      </c>
      <c r="B87" t="s">
        <v>24</v>
      </c>
      <c r="C87" t="s">
        <v>25</v>
      </c>
      <c r="D87" t="s">
        <v>47</v>
      </c>
      <c r="E87">
        <v>2598.58</v>
      </c>
      <c r="F87">
        <v>1</v>
      </c>
      <c r="G87">
        <v>2598.58</v>
      </c>
      <c r="H87" s="1">
        <v>46384</v>
      </c>
      <c r="I87" t="s">
        <v>27</v>
      </c>
    </row>
    <row r="88" spans="1:9" x14ac:dyDescent="0.3">
      <c r="A88" t="s">
        <v>116</v>
      </c>
      <c r="B88" t="s">
        <v>20</v>
      </c>
      <c r="C88" t="s">
        <v>21</v>
      </c>
      <c r="D88" t="s">
        <v>47</v>
      </c>
      <c r="E88">
        <v>1721.55</v>
      </c>
      <c r="F88">
        <v>4</v>
      </c>
      <c r="G88">
        <v>6886.2</v>
      </c>
      <c r="H88" s="1">
        <v>46272</v>
      </c>
      <c r="I88" t="s">
        <v>17</v>
      </c>
    </row>
    <row r="89" spans="1:9" x14ac:dyDescent="0.3">
      <c r="A89" t="s">
        <v>117</v>
      </c>
      <c r="B89" t="s">
        <v>14</v>
      </c>
      <c r="C89" t="s">
        <v>15</v>
      </c>
      <c r="D89" t="s">
        <v>47</v>
      </c>
      <c r="E89">
        <v>3683.55</v>
      </c>
      <c r="F89">
        <v>5</v>
      </c>
      <c r="G89">
        <v>18417.75</v>
      </c>
      <c r="H89" s="1">
        <v>46203</v>
      </c>
      <c r="I89" t="s">
        <v>17</v>
      </c>
    </row>
    <row r="90" spans="1:9" x14ac:dyDescent="0.3">
      <c r="A90" t="s">
        <v>118</v>
      </c>
      <c r="B90" t="s">
        <v>24</v>
      </c>
      <c r="C90" t="s">
        <v>25</v>
      </c>
      <c r="D90" t="s">
        <v>16</v>
      </c>
      <c r="E90">
        <v>6697.72</v>
      </c>
      <c r="F90">
        <v>4</v>
      </c>
      <c r="G90">
        <v>26790.880000000001</v>
      </c>
      <c r="H90" s="1">
        <v>46075</v>
      </c>
      <c r="I90" t="s">
        <v>12</v>
      </c>
    </row>
    <row r="91" spans="1:9" x14ac:dyDescent="0.3">
      <c r="A91" t="s">
        <v>119</v>
      </c>
      <c r="B91" t="s">
        <v>14</v>
      </c>
      <c r="C91" t="s">
        <v>15</v>
      </c>
      <c r="D91" t="s">
        <v>16</v>
      </c>
      <c r="E91">
        <v>11053.32</v>
      </c>
      <c r="F91">
        <v>3</v>
      </c>
      <c r="G91">
        <v>33159.96</v>
      </c>
      <c r="H91" s="1">
        <v>46152</v>
      </c>
      <c r="I91" t="s">
        <v>17</v>
      </c>
    </row>
    <row r="92" spans="1:9" x14ac:dyDescent="0.3">
      <c r="A92" t="s">
        <v>120</v>
      </c>
      <c r="B92" t="s">
        <v>24</v>
      </c>
      <c r="C92" t="s">
        <v>25</v>
      </c>
      <c r="D92" t="s">
        <v>31</v>
      </c>
      <c r="E92">
        <v>4380.37</v>
      </c>
      <c r="F92">
        <v>6</v>
      </c>
      <c r="G92">
        <v>26282.22</v>
      </c>
      <c r="H92" s="1">
        <v>46214</v>
      </c>
      <c r="I92" t="s">
        <v>17</v>
      </c>
    </row>
    <row r="93" spans="1:9" x14ac:dyDescent="0.3">
      <c r="A93" t="s">
        <v>121</v>
      </c>
      <c r="B93" t="s">
        <v>20</v>
      </c>
      <c r="C93" t="s">
        <v>21</v>
      </c>
      <c r="D93" t="s">
        <v>26</v>
      </c>
      <c r="E93">
        <v>45886.86</v>
      </c>
      <c r="F93">
        <v>1</v>
      </c>
      <c r="G93">
        <v>45886.86</v>
      </c>
      <c r="H93" s="1">
        <v>46123</v>
      </c>
      <c r="I93" t="s">
        <v>12</v>
      </c>
    </row>
    <row r="94" spans="1:9" x14ac:dyDescent="0.3">
      <c r="A94" t="s">
        <v>122</v>
      </c>
      <c r="B94" t="s">
        <v>14</v>
      </c>
      <c r="C94" t="s">
        <v>15</v>
      </c>
      <c r="D94" t="s">
        <v>31</v>
      </c>
      <c r="E94">
        <v>4258.8</v>
      </c>
      <c r="F94">
        <v>7</v>
      </c>
      <c r="G94">
        <v>29811.599999999999</v>
      </c>
      <c r="H94" s="1">
        <v>46280</v>
      </c>
      <c r="I94" t="s">
        <v>22</v>
      </c>
    </row>
    <row r="95" spans="1:9" x14ac:dyDescent="0.3">
      <c r="A95" t="s">
        <v>123</v>
      </c>
      <c r="B95" t="s">
        <v>38</v>
      </c>
      <c r="C95" t="s">
        <v>39</v>
      </c>
      <c r="D95" t="s">
        <v>31</v>
      </c>
      <c r="E95">
        <v>4824.68</v>
      </c>
      <c r="F95">
        <v>3</v>
      </c>
      <c r="G95">
        <v>14474.04</v>
      </c>
      <c r="H95" s="1">
        <v>46380</v>
      </c>
      <c r="I95" t="s">
        <v>27</v>
      </c>
    </row>
    <row r="96" spans="1:9" x14ac:dyDescent="0.3">
      <c r="A96" t="s">
        <v>124</v>
      </c>
      <c r="B96" t="s">
        <v>38</v>
      </c>
      <c r="C96" t="s">
        <v>39</v>
      </c>
      <c r="D96" t="s">
        <v>26</v>
      </c>
      <c r="E96">
        <v>23809.5</v>
      </c>
      <c r="F96">
        <v>2</v>
      </c>
      <c r="G96">
        <v>47619</v>
      </c>
      <c r="H96" s="1">
        <v>46098</v>
      </c>
      <c r="I96" t="s">
        <v>12</v>
      </c>
    </row>
    <row r="97" spans="1:9" x14ac:dyDescent="0.3">
      <c r="A97" t="s">
        <v>125</v>
      </c>
      <c r="B97" t="s">
        <v>20</v>
      </c>
      <c r="C97" t="s">
        <v>21</v>
      </c>
      <c r="D97" t="s">
        <v>31</v>
      </c>
      <c r="E97">
        <v>284.99</v>
      </c>
      <c r="F97">
        <v>3</v>
      </c>
      <c r="G97">
        <v>854.97</v>
      </c>
      <c r="H97" s="1">
        <v>46115</v>
      </c>
      <c r="I97" t="s">
        <v>17</v>
      </c>
    </row>
    <row r="98" spans="1:9" x14ac:dyDescent="0.3">
      <c r="A98" t="s">
        <v>126</v>
      </c>
      <c r="B98" t="s">
        <v>38</v>
      </c>
      <c r="C98" t="s">
        <v>39</v>
      </c>
      <c r="D98" t="s">
        <v>11</v>
      </c>
      <c r="E98">
        <v>7000.3</v>
      </c>
      <c r="F98">
        <v>2</v>
      </c>
      <c r="G98">
        <v>14000.6</v>
      </c>
      <c r="H98" s="1">
        <v>46069</v>
      </c>
      <c r="I98" t="s">
        <v>27</v>
      </c>
    </row>
    <row r="99" spans="1:9" x14ac:dyDescent="0.3">
      <c r="A99" t="s">
        <v>127</v>
      </c>
      <c r="B99" t="s">
        <v>24</v>
      </c>
      <c r="C99" t="s">
        <v>25</v>
      </c>
      <c r="D99" t="s">
        <v>47</v>
      </c>
      <c r="E99">
        <v>3183.18</v>
      </c>
      <c r="F99">
        <v>2</v>
      </c>
      <c r="G99">
        <v>6366.36</v>
      </c>
      <c r="H99" s="1">
        <v>46287</v>
      </c>
      <c r="I99" t="s">
        <v>17</v>
      </c>
    </row>
    <row r="100" spans="1:9" x14ac:dyDescent="0.3">
      <c r="A100" t="s">
        <v>128</v>
      </c>
      <c r="B100" t="s">
        <v>24</v>
      </c>
      <c r="C100" t="s">
        <v>25</v>
      </c>
      <c r="D100" t="s">
        <v>47</v>
      </c>
      <c r="E100">
        <v>2135.73</v>
      </c>
      <c r="F100">
        <v>1</v>
      </c>
      <c r="G100">
        <v>2135.73</v>
      </c>
      <c r="H100" s="1">
        <v>46191</v>
      </c>
      <c r="I100" t="s">
        <v>27</v>
      </c>
    </row>
    <row r="101" spans="1:9" x14ac:dyDescent="0.3">
      <c r="A101" t="s">
        <v>129</v>
      </c>
      <c r="B101" t="s">
        <v>29</v>
      </c>
      <c r="C101" t="s">
        <v>30</v>
      </c>
      <c r="D101" t="s">
        <v>11</v>
      </c>
      <c r="E101">
        <v>13409.59</v>
      </c>
      <c r="F101">
        <v>3</v>
      </c>
      <c r="G101">
        <v>40228.769999999997</v>
      </c>
      <c r="H101" s="1">
        <v>46126</v>
      </c>
      <c r="I101" t="s">
        <v>27</v>
      </c>
    </row>
    <row r="102" spans="1:9" x14ac:dyDescent="0.3">
      <c r="A102" t="s">
        <v>130</v>
      </c>
      <c r="B102" t="s">
        <v>29</v>
      </c>
      <c r="C102" t="s">
        <v>30</v>
      </c>
      <c r="D102" t="s">
        <v>11</v>
      </c>
      <c r="E102">
        <v>71527.72</v>
      </c>
      <c r="F102">
        <v>2</v>
      </c>
      <c r="G102">
        <v>143055.44</v>
      </c>
      <c r="H102" s="1">
        <v>46103</v>
      </c>
      <c r="I102" t="s">
        <v>12</v>
      </c>
    </row>
    <row r="103" spans="1:9" x14ac:dyDescent="0.3">
      <c r="A103" t="s">
        <v>131</v>
      </c>
      <c r="B103" t="s">
        <v>20</v>
      </c>
      <c r="C103" t="s">
        <v>21</v>
      </c>
      <c r="D103" t="s">
        <v>31</v>
      </c>
      <c r="E103">
        <v>1017.33</v>
      </c>
      <c r="F103">
        <v>10</v>
      </c>
      <c r="G103">
        <v>10173.299999999999</v>
      </c>
      <c r="H103" s="1">
        <v>46048</v>
      </c>
      <c r="I103" t="s">
        <v>27</v>
      </c>
    </row>
    <row r="104" spans="1:9" x14ac:dyDescent="0.3">
      <c r="A104" t="s">
        <v>132</v>
      </c>
      <c r="B104" t="s">
        <v>38</v>
      </c>
      <c r="C104" t="s">
        <v>39</v>
      </c>
      <c r="D104" t="s">
        <v>47</v>
      </c>
      <c r="E104">
        <v>7679.1</v>
      </c>
      <c r="F104">
        <v>1</v>
      </c>
      <c r="G104">
        <v>7679.1</v>
      </c>
      <c r="H104" s="1">
        <v>46196</v>
      </c>
      <c r="I104" t="s">
        <v>12</v>
      </c>
    </row>
    <row r="105" spans="1:9" x14ac:dyDescent="0.3">
      <c r="A105" t="s">
        <v>133</v>
      </c>
      <c r="B105" t="s">
        <v>29</v>
      </c>
      <c r="C105" t="s">
        <v>30</v>
      </c>
      <c r="D105" t="s">
        <v>47</v>
      </c>
      <c r="E105">
        <v>6110.63</v>
      </c>
      <c r="F105">
        <v>4</v>
      </c>
      <c r="G105">
        <v>24442.52</v>
      </c>
      <c r="H105" s="1">
        <v>46272</v>
      </c>
      <c r="I105" t="s">
        <v>12</v>
      </c>
    </row>
    <row r="106" spans="1:9" x14ac:dyDescent="0.3">
      <c r="A106" t="s">
        <v>134</v>
      </c>
      <c r="B106" t="s">
        <v>9</v>
      </c>
      <c r="C106" t="s">
        <v>10</v>
      </c>
      <c r="D106" t="s">
        <v>11</v>
      </c>
      <c r="E106">
        <v>48358.17</v>
      </c>
      <c r="F106">
        <v>1</v>
      </c>
      <c r="G106">
        <v>48358.17</v>
      </c>
      <c r="H106" s="1">
        <v>46108</v>
      </c>
      <c r="I106" t="s">
        <v>22</v>
      </c>
    </row>
    <row r="107" spans="1:9" x14ac:dyDescent="0.3">
      <c r="A107" t="s">
        <v>135</v>
      </c>
      <c r="B107" t="s">
        <v>20</v>
      </c>
      <c r="C107" t="s">
        <v>21</v>
      </c>
      <c r="D107" t="s">
        <v>47</v>
      </c>
      <c r="E107">
        <v>5440.55</v>
      </c>
      <c r="F107">
        <v>3</v>
      </c>
      <c r="G107">
        <v>16321.65</v>
      </c>
      <c r="H107" s="1">
        <v>46023</v>
      </c>
      <c r="I107" t="s">
        <v>12</v>
      </c>
    </row>
    <row r="108" spans="1:9" x14ac:dyDescent="0.3">
      <c r="A108" t="s">
        <v>136</v>
      </c>
      <c r="B108" t="s">
        <v>14</v>
      </c>
      <c r="C108" t="s">
        <v>15</v>
      </c>
      <c r="D108" t="s">
        <v>11</v>
      </c>
      <c r="E108">
        <v>25395.39</v>
      </c>
      <c r="F108">
        <v>2</v>
      </c>
      <c r="G108">
        <v>50790.78</v>
      </c>
      <c r="H108" s="1">
        <v>46195</v>
      </c>
      <c r="I108" t="s">
        <v>12</v>
      </c>
    </row>
    <row r="109" spans="1:9" x14ac:dyDescent="0.3">
      <c r="A109" t="s">
        <v>137</v>
      </c>
      <c r="B109" t="s">
        <v>38</v>
      </c>
      <c r="C109" t="s">
        <v>39</v>
      </c>
      <c r="D109" t="s">
        <v>31</v>
      </c>
      <c r="E109">
        <v>3249.81</v>
      </c>
      <c r="F109">
        <v>5</v>
      </c>
      <c r="G109">
        <v>16249.05</v>
      </c>
      <c r="H109" s="1">
        <v>46269</v>
      </c>
      <c r="I109" t="s">
        <v>12</v>
      </c>
    </row>
    <row r="110" spans="1:9" x14ac:dyDescent="0.3">
      <c r="A110" t="s">
        <v>138</v>
      </c>
      <c r="B110" t="s">
        <v>24</v>
      </c>
      <c r="C110" t="s">
        <v>25</v>
      </c>
      <c r="D110" t="s">
        <v>33</v>
      </c>
      <c r="E110">
        <v>3977.83</v>
      </c>
      <c r="F110">
        <v>3</v>
      </c>
      <c r="G110">
        <v>11933.49</v>
      </c>
      <c r="H110" s="1">
        <v>46148</v>
      </c>
      <c r="I110" t="s">
        <v>17</v>
      </c>
    </row>
    <row r="111" spans="1:9" x14ac:dyDescent="0.3">
      <c r="A111" t="s">
        <v>139</v>
      </c>
      <c r="B111" t="s">
        <v>29</v>
      </c>
      <c r="C111" t="s">
        <v>30</v>
      </c>
      <c r="D111" t="s">
        <v>11</v>
      </c>
      <c r="E111">
        <v>70377.740000000005</v>
      </c>
      <c r="F111">
        <v>3</v>
      </c>
      <c r="G111">
        <v>211133.22</v>
      </c>
      <c r="H111" s="1">
        <v>46114</v>
      </c>
      <c r="I111" t="s">
        <v>27</v>
      </c>
    </row>
    <row r="112" spans="1:9" x14ac:dyDescent="0.3">
      <c r="A112" t="s">
        <v>140</v>
      </c>
      <c r="B112" t="s">
        <v>14</v>
      </c>
      <c r="C112" t="s">
        <v>15</v>
      </c>
      <c r="D112" t="s">
        <v>11</v>
      </c>
      <c r="E112">
        <v>23193.07</v>
      </c>
      <c r="F112">
        <v>1</v>
      </c>
      <c r="G112">
        <v>23193.07</v>
      </c>
      <c r="H112" s="1">
        <v>46079</v>
      </c>
      <c r="I112" t="s">
        <v>17</v>
      </c>
    </row>
    <row r="113" spans="1:9" x14ac:dyDescent="0.3">
      <c r="A113" t="s">
        <v>141</v>
      </c>
      <c r="B113" t="s">
        <v>24</v>
      </c>
      <c r="C113" t="s">
        <v>25</v>
      </c>
      <c r="D113" t="s">
        <v>16</v>
      </c>
      <c r="E113">
        <v>3285.68</v>
      </c>
      <c r="F113">
        <v>5</v>
      </c>
      <c r="G113">
        <v>16428.400000000001</v>
      </c>
      <c r="H113" s="1">
        <v>46295</v>
      </c>
      <c r="I113" t="s">
        <v>22</v>
      </c>
    </row>
    <row r="114" spans="1:9" x14ac:dyDescent="0.3">
      <c r="A114" t="s">
        <v>142</v>
      </c>
      <c r="B114" t="s">
        <v>38</v>
      </c>
      <c r="C114" t="s">
        <v>39</v>
      </c>
      <c r="D114" t="s">
        <v>26</v>
      </c>
      <c r="E114">
        <v>35846.980000000003</v>
      </c>
      <c r="F114">
        <v>1</v>
      </c>
      <c r="G114">
        <v>35846.980000000003</v>
      </c>
      <c r="H114" s="1">
        <v>46337</v>
      </c>
      <c r="I114" t="s">
        <v>27</v>
      </c>
    </row>
    <row r="115" spans="1:9" x14ac:dyDescent="0.3">
      <c r="A115" t="s">
        <v>143</v>
      </c>
      <c r="B115" t="s">
        <v>20</v>
      </c>
      <c r="C115" t="s">
        <v>21</v>
      </c>
      <c r="D115" t="s">
        <v>33</v>
      </c>
      <c r="E115">
        <v>13232.04</v>
      </c>
      <c r="F115">
        <v>2</v>
      </c>
      <c r="G115">
        <v>26464.080000000002</v>
      </c>
      <c r="H115" s="1">
        <v>46303</v>
      </c>
      <c r="I115" t="s">
        <v>22</v>
      </c>
    </row>
    <row r="116" spans="1:9" x14ac:dyDescent="0.3">
      <c r="A116" t="s">
        <v>144</v>
      </c>
      <c r="B116" t="s">
        <v>24</v>
      </c>
      <c r="C116" t="s">
        <v>25</v>
      </c>
      <c r="D116" t="s">
        <v>33</v>
      </c>
      <c r="E116">
        <v>9190.59</v>
      </c>
      <c r="F116">
        <v>2</v>
      </c>
      <c r="G116">
        <v>18381.18</v>
      </c>
      <c r="H116" s="1">
        <v>46212</v>
      </c>
      <c r="I116" t="s">
        <v>27</v>
      </c>
    </row>
    <row r="117" spans="1:9" x14ac:dyDescent="0.3">
      <c r="A117" t="s">
        <v>145</v>
      </c>
      <c r="B117" t="s">
        <v>9</v>
      </c>
      <c r="C117" t="s">
        <v>10</v>
      </c>
      <c r="D117" t="s">
        <v>11</v>
      </c>
      <c r="E117">
        <v>47727.51</v>
      </c>
      <c r="F117">
        <v>3</v>
      </c>
      <c r="G117">
        <v>143182.53</v>
      </c>
      <c r="H117" s="1">
        <v>46287</v>
      </c>
      <c r="I117" t="s">
        <v>12</v>
      </c>
    </row>
    <row r="118" spans="1:9" x14ac:dyDescent="0.3">
      <c r="A118" t="s">
        <v>146</v>
      </c>
      <c r="B118" t="s">
        <v>9</v>
      </c>
      <c r="C118" t="s">
        <v>10</v>
      </c>
      <c r="D118" t="s">
        <v>11</v>
      </c>
      <c r="E118">
        <v>12634.39</v>
      </c>
      <c r="F118">
        <v>1</v>
      </c>
      <c r="G118">
        <v>12634.39</v>
      </c>
      <c r="H118" s="1">
        <v>46167</v>
      </c>
      <c r="I118" t="s">
        <v>27</v>
      </c>
    </row>
    <row r="119" spans="1:9" x14ac:dyDescent="0.3">
      <c r="A119" t="s">
        <v>147</v>
      </c>
      <c r="B119" t="s">
        <v>20</v>
      </c>
      <c r="C119" t="s">
        <v>21</v>
      </c>
      <c r="D119" t="s">
        <v>47</v>
      </c>
      <c r="E119">
        <v>5419.29</v>
      </c>
      <c r="F119">
        <v>2</v>
      </c>
      <c r="G119">
        <v>10838.58</v>
      </c>
      <c r="H119" s="1">
        <v>46031</v>
      </c>
      <c r="I119" t="s">
        <v>27</v>
      </c>
    </row>
    <row r="120" spans="1:9" x14ac:dyDescent="0.3">
      <c r="A120" t="s">
        <v>148</v>
      </c>
      <c r="B120" t="s">
        <v>14</v>
      </c>
      <c r="C120" t="s">
        <v>15</v>
      </c>
      <c r="D120" t="s">
        <v>31</v>
      </c>
      <c r="E120">
        <v>1389.52</v>
      </c>
      <c r="F120">
        <v>5</v>
      </c>
      <c r="G120">
        <v>6947.6</v>
      </c>
      <c r="H120" s="1">
        <v>46157</v>
      </c>
      <c r="I120" t="s">
        <v>27</v>
      </c>
    </row>
    <row r="121" spans="1:9" x14ac:dyDescent="0.3">
      <c r="A121" t="s">
        <v>149</v>
      </c>
      <c r="B121" t="s">
        <v>20</v>
      </c>
      <c r="C121" t="s">
        <v>21</v>
      </c>
      <c r="D121" t="s">
        <v>33</v>
      </c>
      <c r="E121">
        <v>5674.87</v>
      </c>
      <c r="F121">
        <v>4</v>
      </c>
      <c r="G121">
        <v>22699.48</v>
      </c>
      <c r="H121" s="1">
        <v>46279</v>
      </c>
      <c r="I121" t="s">
        <v>27</v>
      </c>
    </row>
    <row r="122" spans="1:9" x14ac:dyDescent="0.3">
      <c r="A122" t="s">
        <v>150</v>
      </c>
      <c r="B122" t="s">
        <v>20</v>
      </c>
      <c r="C122" t="s">
        <v>21</v>
      </c>
      <c r="D122" t="s">
        <v>26</v>
      </c>
      <c r="E122">
        <v>8946.82</v>
      </c>
      <c r="F122">
        <v>2</v>
      </c>
      <c r="G122">
        <v>17893.64</v>
      </c>
      <c r="H122" s="1">
        <v>46259</v>
      </c>
      <c r="I122" t="s">
        <v>27</v>
      </c>
    </row>
    <row r="123" spans="1:9" x14ac:dyDescent="0.3">
      <c r="A123" t="s">
        <v>151</v>
      </c>
      <c r="B123" t="s">
        <v>20</v>
      </c>
      <c r="C123" t="s">
        <v>21</v>
      </c>
      <c r="D123" t="s">
        <v>11</v>
      </c>
      <c r="E123">
        <v>25462.38</v>
      </c>
      <c r="F123">
        <v>3</v>
      </c>
      <c r="G123">
        <v>76387.14</v>
      </c>
      <c r="H123" s="1">
        <v>46384</v>
      </c>
      <c r="I123" t="s">
        <v>27</v>
      </c>
    </row>
    <row r="124" spans="1:9" x14ac:dyDescent="0.3">
      <c r="A124" t="s">
        <v>152</v>
      </c>
      <c r="B124" t="s">
        <v>24</v>
      </c>
      <c r="C124" t="s">
        <v>25</v>
      </c>
      <c r="D124" t="s">
        <v>47</v>
      </c>
      <c r="E124">
        <v>2716.88</v>
      </c>
      <c r="F124">
        <v>4</v>
      </c>
      <c r="G124">
        <v>10867.52</v>
      </c>
      <c r="H124" s="1">
        <v>46387</v>
      </c>
      <c r="I124" t="s">
        <v>27</v>
      </c>
    </row>
    <row r="125" spans="1:9" x14ac:dyDescent="0.3">
      <c r="A125" t="s">
        <v>153</v>
      </c>
      <c r="B125" t="s">
        <v>14</v>
      </c>
      <c r="C125" t="s">
        <v>15</v>
      </c>
      <c r="D125" t="s">
        <v>11</v>
      </c>
      <c r="E125">
        <v>34500.080000000002</v>
      </c>
      <c r="F125">
        <v>3</v>
      </c>
      <c r="G125">
        <v>103500.24</v>
      </c>
      <c r="H125" s="1">
        <v>46111</v>
      </c>
      <c r="I125" t="s">
        <v>27</v>
      </c>
    </row>
    <row r="126" spans="1:9" x14ac:dyDescent="0.3">
      <c r="A126" t="s">
        <v>154</v>
      </c>
      <c r="B126" t="s">
        <v>24</v>
      </c>
      <c r="C126" t="s">
        <v>25</v>
      </c>
      <c r="D126" t="s">
        <v>16</v>
      </c>
      <c r="E126">
        <v>2527.91</v>
      </c>
      <c r="F126">
        <v>4</v>
      </c>
      <c r="G126">
        <v>10111.64</v>
      </c>
      <c r="H126" s="1">
        <v>46026</v>
      </c>
      <c r="I126" t="s">
        <v>17</v>
      </c>
    </row>
    <row r="127" spans="1:9" x14ac:dyDescent="0.3">
      <c r="A127" t="s">
        <v>155</v>
      </c>
      <c r="B127" t="s">
        <v>14</v>
      </c>
      <c r="C127" t="s">
        <v>15</v>
      </c>
      <c r="D127" t="s">
        <v>16</v>
      </c>
      <c r="E127">
        <v>2558.19</v>
      </c>
      <c r="F127">
        <v>1</v>
      </c>
      <c r="G127">
        <v>2558.19</v>
      </c>
      <c r="H127" s="1">
        <v>46123</v>
      </c>
      <c r="I127" t="s">
        <v>17</v>
      </c>
    </row>
    <row r="128" spans="1:9" x14ac:dyDescent="0.3">
      <c r="A128" t="s">
        <v>156</v>
      </c>
      <c r="B128" t="s">
        <v>38</v>
      </c>
      <c r="C128" t="s">
        <v>39</v>
      </c>
      <c r="D128" t="s">
        <v>16</v>
      </c>
      <c r="E128">
        <v>6638.34</v>
      </c>
      <c r="F128">
        <v>3</v>
      </c>
      <c r="G128">
        <v>19915.02</v>
      </c>
      <c r="H128" s="1">
        <v>46342</v>
      </c>
      <c r="I128" t="s">
        <v>17</v>
      </c>
    </row>
    <row r="129" spans="1:9" x14ac:dyDescent="0.3">
      <c r="A129" t="s">
        <v>157</v>
      </c>
      <c r="B129" t="s">
        <v>24</v>
      </c>
      <c r="C129" t="s">
        <v>25</v>
      </c>
      <c r="D129" t="s">
        <v>26</v>
      </c>
      <c r="E129">
        <v>7314.99</v>
      </c>
      <c r="F129">
        <v>2</v>
      </c>
      <c r="G129">
        <v>14629.98</v>
      </c>
      <c r="H129" s="1">
        <v>46319</v>
      </c>
      <c r="I129" t="s">
        <v>17</v>
      </c>
    </row>
    <row r="130" spans="1:9" x14ac:dyDescent="0.3">
      <c r="A130" t="s">
        <v>158</v>
      </c>
      <c r="B130" t="s">
        <v>24</v>
      </c>
      <c r="C130" t="s">
        <v>25</v>
      </c>
      <c r="D130" t="s">
        <v>26</v>
      </c>
      <c r="E130">
        <v>34755.949999999997</v>
      </c>
      <c r="F130">
        <v>1</v>
      </c>
      <c r="G130">
        <v>34755.949999999997</v>
      </c>
      <c r="H130" s="1">
        <v>46059</v>
      </c>
      <c r="I130" t="s">
        <v>27</v>
      </c>
    </row>
    <row r="131" spans="1:9" x14ac:dyDescent="0.3">
      <c r="A131" t="s">
        <v>159</v>
      </c>
      <c r="B131" t="s">
        <v>20</v>
      </c>
      <c r="C131" t="s">
        <v>21</v>
      </c>
      <c r="D131" t="s">
        <v>33</v>
      </c>
      <c r="E131">
        <v>18895.759999999998</v>
      </c>
      <c r="F131">
        <v>1</v>
      </c>
      <c r="G131">
        <v>18895.759999999998</v>
      </c>
      <c r="H131" s="1">
        <v>46081</v>
      </c>
      <c r="I131" t="s">
        <v>27</v>
      </c>
    </row>
    <row r="132" spans="1:9" x14ac:dyDescent="0.3">
      <c r="A132" t="s">
        <v>160</v>
      </c>
      <c r="B132" t="s">
        <v>24</v>
      </c>
      <c r="C132" t="s">
        <v>25</v>
      </c>
      <c r="D132" t="s">
        <v>33</v>
      </c>
      <c r="E132">
        <v>8707.8700000000008</v>
      </c>
      <c r="F132">
        <v>1</v>
      </c>
      <c r="G132">
        <v>8707.8700000000008</v>
      </c>
      <c r="H132" s="1">
        <v>46228</v>
      </c>
      <c r="I132" t="s">
        <v>27</v>
      </c>
    </row>
    <row r="133" spans="1:9" x14ac:dyDescent="0.3">
      <c r="A133" t="s">
        <v>161</v>
      </c>
      <c r="B133" t="s">
        <v>29</v>
      </c>
      <c r="C133" t="s">
        <v>30</v>
      </c>
      <c r="D133" t="s">
        <v>16</v>
      </c>
      <c r="E133">
        <v>10842.93</v>
      </c>
      <c r="F133">
        <v>4</v>
      </c>
      <c r="G133">
        <v>43371.72</v>
      </c>
      <c r="H133" s="1">
        <v>46264</v>
      </c>
      <c r="I133" t="s">
        <v>12</v>
      </c>
    </row>
    <row r="134" spans="1:9" x14ac:dyDescent="0.3">
      <c r="A134" t="s">
        <v>162</v>
      </c>
      <c r="B134" t="s">
        <v>20</v>
      </c>
      <c r="C134" t="s">
        <v>21</v>
      </c>
      <c r="D134" t="s">
        <v>11</v>
      </c>
      <c r="E134">
        <v>8095.09</v>
      </c>
      <c r="F134">
        <v>2</v>
      </c>
      <c r="G134">
        <v>16190.18</v>
      </c>
      <c r="H134" s="1">
        <v>46381</v>
      </c>
      <c r="I134" t="s">
        <v>12</v>
      </c>
    </row>
    <row r="135" spans="1:9" x14ac:dyDescent="0.3">
      <c r="A135" t="s">
        <v>163</v>
      </c>
      <c r="B135" t="s">
        <v>38</v>
      </c>
      <c r="C135" t="s">
        <v>39</v>
      </c>
      <c r="D135" t="s">
        <v>26</v>
      </c>
      <c r="E135">
        <v>3104.92</v>
      </c>
      <c r="F135">
        <v>1</v>
      </c>
      <c r="G135">
        <v>3104.92</v>
      </c>
      <c r="H135" s="1">
        <v>46298</v>
      </c>
      <c r="I135" t="s">
        <v>12</v>
      </c>
    </row>
    <row r="136" spans="1:9" x14ac:dyDescent="0.3">
      <c r="A136" t="s">
        <v>164</v>
      </c>
      <c r="B136" t="s">
        <v>20</v>
      </c>
      <c r="C136" t="s">
        <v>21</v>
      </c>
      <c r="D136" t="s">
        <v>33</v>
      </c>
      <c r="E136">
        <v>14510.97</v>
      </c>
      <c r="F136">
        <v>3</v>
      </c>
      <c r="G136">
        <v>43532.91</v>
      </c>
      <c r="H136" s="1">
        <v>46100</v>
      </c>
      <c r="I136" t="s">
        <v>17</v>
      </c>
    </row>
    <row r="137" spans="1:9" x14ac:dyDescent="0.3">
      <c r="A137" t="s">
        <v>165</v>
      </c>
      <c r="B137" t="s">
        <v>24</v>
      </c>
      <c r="C137" t="s">
        <v>25</v>
      </c>
      <c r="D137" t="s">
        <v>31</v>
      </c>
      <c r="E137">
        <v>3817.06</v>
      </c>
      <c r="F137">
        <v>7</v>
      </c>
      <c r="G137">
        <v>26719.42</v>
      </c>
      <c r="H137" s="1">
        <v>46036</v>
      </c>
      <c r="I137" t="s">
        <v>22</v>
      </c>
    </row>
    <row r="138" spans="1:9" x14ac:dyDescent="0.3">
      <c r="A138" t="s">
        <v>166</v>
      </c>
      <c r="B138" t="s">
        <v>29</v>
      </c>
      <c r="C138" t="s">
        <v>30</v>
      </c>
      <c r="D138" t="s">
        <v>16</v>
      </c>
      <c r="E138">
        <v>10163.780000000001</v>
      </c>
      <c r="F138">
        <v>5</v>
      </c>
      <c r="G138">
        <v>50818.9</v>
      </c>
      <c r="H138" s="1">
        <v>46254</v>
      </c>
      <c r="I138" t="s">
        <v>17</v>
      </c>
    </row>
    <row r="139" spans="1:9" x14ac:dyDescent="0.3">
      <c r="A139" t="s">
        <v>167</v>
      </c>
      <c r="B139" t="s">
        <v>14</v>
      </c>
      <c r="C139" t="s">
        <v>15</v>
      </c>
      <c r="D139" t="s">
        <v>16</v>
      </c>
      <c r="E139">
        <v>964.77</v>
      </c>
      <c r="F139">
        <v>5</v>
      </c>
      <c r="G139">
        <v>4823.8500000000004</v>
      </c>
      <c r="H139" s="1">
        <v>46225</v>
      </c>
      <c r="I139" t="s">
        <v>12</v>
      </c>
    </row>
    <row r="140" spans="1:9" x14ac:dyDescent="0.3">
      <c r="A140" t="s">
        <v>168</v>
      </c>
      <c r="B140" t="s">
        <v>9</v>
      </c>
      <c r="C140" t="s">
        <v>10</v>
      </c>
      <c r="D140" t="s">
        <v>11</v>
      </c>
      <c r="E140">
        <v>58446.5</v>
      </c>
      <c r="F140">
        <v>3</v>
      </c>
      <c r="G140">
        <v>175339.5</v>
      </c>
      <c r="H140" s="1">
        <v>46359</v>
      </c>
      <c r="I140" t="s">
        <v>12</v>
      </c>
    </row>
    <row r="141" spans="1:9" x14ac:dyDescent="0.3">
      <c r="A141" t="s">
        <v>169</v>
      </c>
      <c r="B141" t="s">
        <v>24</v>
      </c>
      <c r="C141" t="s">
        <v>25</v>
      </c>
      <c r="D141" t="s">
        <v>26</v>
      </c>
      <c r="E141">
        <v>19450.400000000001</v>
      </c>
      <c r="F141">
        <v>1</v>
      </c>
      <c r="G141">
        <v>19450.400000000001</v>
      </c>
      <c r="H141" s="1">
        <v>46233</v>
      </c>
      <c r="I141" t="s">
        <v>12</v>
      </c>
    </row>
    <row r="142" spans="1:9" x14ac:dyDescent="0.3">
      <c r="A142" t="s">
        <v>170</v>
      </c>
      <c r="B142" t="s">
        <v>14</v>
      </c>
      <c r="C142" t="s">
        <v>15</v>
      </c>
      <c r="D142" t="s">
        <v>31</v>
      </c>
      <c r="E142">
        <v>1551.52</v>
      </c>
      <c r="F142">
        <v>8</v>
      </c>
      <c r="G142">
        <v>12412.16</v>
      </c>
      <c r="H142" s="1">
        <v>46205</v>
      </c>
      <c r="I142" t="s">
        <v>12</v>
      </c>
    </row>
    <row r="143" spans="1:9" x14ac:dyDescent="0.3">
      <c r="A143" t="s">
        <v>171</v>
      </c>
      <c r="B143" t="s">
        <v>14</v>
      </c>
      <c r="C143" t="s">
        <v>15</v>
      </c>
      <c r="D143" t="s">
        <v>47</v>
      </c>
      <c r="E143">
        <v>1466.89</v>
      </c>
      <c r="F143">
        <v>2</v>
      </c>
      <c r="G143">
        <v>2933.78</v>
      </c>
      <c r="H143" s="1">
        <v>46133</v>
      </c>
      <c r="I143" t="s">
        <v>17</v>
      </c>
    </row>
    <row r="144" spans="1:9" x14ac:dyDescent="0.3">
      <c r="A144" t="s">
        <v>172</v>
      </c>
      <c r="B144" t="s">
        <v>29</v>
      </c>
      <c r="C144" t="s">
        <v>30</v>
      </c>
      <c r="D144" t="s">
        <v>47</v>
      </c>
      <c r="E144">
        <v>7968.52</v>
      </c>
      <c r="F144">
        <v>3</v>
      </c>
      <c r="G144">
        <v>23905.56</v>
      </c>
      <c r="H144" s="1">
        <v>46054</v>
      </c>
      <c r="I144" t="s">
        <v>12</v>
      </c>
    </row>
    <row r="145" spans="1:9" x14ac:dyDescent="0.3">
      <c r="A145" t="s">
        <v>173</v>
      </c>
      <c r="B145" t="s">
        <v>20</v>
      </c>
      <c r="C145" t="s">
        <v>21</v>
      </c>
      <c r="D145" t="s">
        <v>47</v>
      </c>
      <c r="E145">
        <v>602.94000000000005</v>
      </c>
      <c r="F145">
        <v>4</v>
      </c>
      <c r="G145">
        <v>2411.7600000000002</v>
      </c>
      <c r="H145" s="1">
        <v>46342</v>
      </c>
      <c r="I145" t="s">
        <v>12</v>
      </c>
    </row>
    <row r="146" spans="1:9" x14ac:dyDescent="0.3">
      <c r="A146" t="s">
        <v>174</v>
      </c>
      <c r="B146" t="s">
        <v>14</v>
      </c>
      <c r="C146" t="s">
        <v>15</v>
      </c>
      <c r="D146" t="s">
        <v>31</v>
      </c>
      <c r="E146">
        <v>4143.6899999999996</v>
      </c>
      <c r="F146">
        <v>7</v>
      </c>
      <c r="G146">
        <v>29005.83</v>
      </c>
      <c r="H146" s="1">
        <v>46324</v>
      </c>
      <c r="I146" t="s">
        <v>17</v>
      </c>
    </row>
    <row r="147" spans="1:9" x14ac:dyDescent="0.3">
      <c r="A147" t="s">
        <v>175</v>
      </c>
      <c r="B147" t="s">
        <v>38</v>
      </c>
      <c r="C147" t="s">
        <v>39</v>
      </c>
      <c r="D147" t="s">
        <v>31</v>
      </c>
      <c r="E147">
        <v>3215.5</v>
      </c>
      <c r="F147">
        <v>5</v>
      </c>
      <c r="G147">
        <v>16077.5</v>
      </c>
      <c r="H147" s="1">
        <v>46082</v>
      </c>
      <c r="I147" t="s">
        <v>12</v>
      </c>
    </row>
    <row r="148" spans="1:9" x14ac:dyDescent="0.3">
      <c r="A148" t="s">
        <v>176</v>
      </c>
      <c r="B148" t="s">
        <v>38</v>
      </c>
      <c r="C148" t="s">
        <v>39</v>
      </c>
      <c r="D148" t="s">
        <v>47</v>
      </c>
      <c r="E148">
        <v>5907.14</v>
      </c>
      <c r="F148">
        <v>5</v>
      </c>
      <c r="G148">
        <v>29535.7</v>
      </c>
      <c r="H148" s="1">
        <v>46279</v>
      </c>
      <c r="I148" t="s">
        <v>27</v>
      </c>
    </row>
    <row r="149" spans="1:9" x14ac:dyDescent="0.3">
      <c r="A149" t="s">
        <v>177</v>
      </c>
      <c r="B149" t="s">
        <v>14</v>
      </c>
      <c r="C149" t="s">
        <v>15</v>
      </c>
      <c r="D149" t="s">
        <v>47</v>
      </c>
      <c r="E149">
        <v>5722.57</v>
      </c>
      <c r="F149">
        <v>1</v>
      </c>
      <c r="G149">
        <v>5722.57</v>
      </c>
      <c r="H149" s="1">
        <v>46155</v>
      </c>
      <c r="I149" t="s">
        <v>12</v>
      </c>
    </row>
    <row r="150" spans="1:9" x14ac:dyDescent="0.3">
      <c r="A150" t="s">
        <v>178</v>
      </c>
      <c r="B150" t="s">
        <v>14</v>
      </c>
      <c r="C150" t="s">
        <v>15</v>
      </c>
      <c r="D150" t="s">
        <v>16</v>
      </c>
      <c r="E150">
        <v>10343.68</v>
      </c>
      <c r="F150">
        <v>1</v>
      </c>
      <c r="G150">
        <v>10343.68</v>
      </c>
      <c r="H150" s="1">
        <v>46182</v>
      </c>
      <c r="I150" t="s">
        <v>12</v>
      </c>
    </row>
    <row r="151" spans="1:9" x14ac:dyDescent="0.3">
      <c r="A151" t="s">
        <v>179</v>
      </c>
      <c r="B151" t="s">
        <v>24</v>
      </c>
      <c r="C151" t="s">
        <v>25</v>
      </c>
      <c r="D151" t="s">
        <v>33</v>
      </c>
      <c r="E151">
        <v>3920.7</v>
      </c>
      <c r="F151">
        <v>1</v>
      </c>
      <c r="G151">
        <v>3920.7</v>
      </c>
      <c r="H151" s="1">
        <v>46332</v>
      </c>
      <c r="I151" t="s">
        <v>27</v>
      </c>
    </row>
    <row r="152" spans="1:9" x14ac:dyDescent="0.3">
      <c r="A152" t="s">
        <v>180</v>
      </c>
      <c r="B152" t="s">
        <v>9</v>
      </c>
      <c r="C152" t="s">
        <v>10</v>
      </c>
      <c r="D152" t="s">
        <v>11</v>
      </c>
      <c r="E152">
        <v>861.19</v>
      </c>
      <c r="F152">
        <v>3</v>
      </c>
      <c r="G152">
        <v>2583.5700000000002</v>
      </c>
      <c r="H152" s="1">
        <v>46330</v>
      </c>
      <c r="I152" t="s">
        <v>22</v>
      </c>
    </row>
    <row r="153" spans="1:9" x14ac:dyDescent="0.3">
      <c r="A153" t="s">
        <v>181</v>
      </c>
      <c r="B153" t="s">
        <v>29</v>
      </c>
      <c r="C153" t="s">
        <v>30</v>
      </c>
      <c r="D153" t="s">
        <v>33</v>
      </c>
      <c r="E153">
        <v>12091.01</v>
      </c>
      <c r="F153">
        <v>2</v>
      </c>
      <c r="G153">
        <v>24182.02</v>
      </c>
      <c r="H153" s="1">
        <v>46092</v>
      </c>
      <c r="I153" t="s">
        <v>27</v>
      </c>
    </row>
    <row r="154" spans="1:9" x14ac:dyDescent="0.3">
      <c r="A154" t="s">
        <v>182</v>
      </c>
      <c r="B154" t="s">
        <v>24</v>
      </c>
      <c r="C154" t="s">
        <v>25</v>
      </c>
      <c r="D154" t="s">
        <v>11</v>
      </c>
      <c r="E154">
        <v>27056.31</v>
      </c>
      <c r="F154">
        <v>2</v>
      </c>
      <c r="G154">
        <v>54112.62</v>
      </c>
      <c r="H154" s="1">
        <v>46135</v>
      </c>
      <c r="I154" t="s">
        <v>12</v>
      </c>
    </row>
    <row r="155" spans="1:9" x14ac:dyDescent="0.3">
      <c r="A155" t="s">
        <v>183</v>
      </c>
      <c r="B155" t="s">
        <v>14</v>
      </c>
      <c r="C155" t="s">
        <v>15</v>
      </c>
      <c r="D155" t="s">
        <v>11</v>
      </c>
      <c r="E155">
        <v>9985.02</v>
      </c>
      <c r="F155">
        <v>2</v>
      </c>
      <c r="G155">
        <v>19970.04</v>
      </c>
      <c r="H155" s="1">
        <v>46322</v>
      </c>
      <c r="I155" t="s">
        <v>12</v>
      </c>
    </row>
    <row r="156" spans="1:9" x14ac:dyDescent="0.3">
      <c r="A156" t="s">
        <v>184</v>
      </c>
      <c r="B156" t="s">
        <v>24</v>
      </c>
      <c r="C156" t="s">
        <v>25</v>
      </c>
      <c r="D156" t="s">
        <v>16</v>
      </c>
      <c r="E156">
        <v>2477.8200000000002</v>
      </c>
      <c r="F156">
        <v>3</v>
      </c>
      <c r="G156">
        <v>7433.46</v>
      </c>
      <c r="H156" s="1">
        <v>46357</v>
      </c>
      <c r="I156" t="s">
        <v>22</v>
      </c>
    </row>
    <row r="157" spans="1:9" x14ac:dyDescent="0.3">
      <c r="A157" t="s">
        <v>185</v>
      </c>
      <c r="B157" t="s">
        <v>20</v>
      </c>
      <c r="C157" t="s">
        <v>21</v>
      </c>
      <c r="D157" t="s">
        <v>11</v>
      </c>
      <c r="E157">
        <v>25415.8</v>
      </c>
      <c r="F157">
        <v>2</v>
      </c>
      <c r="G157">
        <v>50831.6</v>
      </c>
      <c r="H157" s="1">
        <v>46051</v>
      </c>
      <c r="I157" t="s">
        <v>12</v>
      </c>
    </row>
    <row r="158" spans="1:9" x14ac:dyDescent="0.3">
      <c r="A158" t="s">
        <v>186</v>
      </c>
      <c r="B158" t="s">
        <v>38</v>
      </c>
      <c r="C158" t="s">
        <v>39</v>
      </c>
      <c r="D158" t="s">
        <v>11</v>
      </c>
      <c r="E158">
        <v>6011.32</v>
      </c>
      <c r="F158">
        <v>1</v>
      </c>
      <c r="G158">
        <v>6011.32</v>
      </c>
      <c r="H158" s="1">
        <v>46327</v>
      </c>
      <c r="I158" t="s">
        <v>27</v>
      </c>
    </row>
    <row r="159" spans="1:9" x14ac:dyDescent="0.3">
      <c r="A159" t="s">
        <v>187</v>
      </c>
      <c r="B159" t="s">
        <v>20</v>
      </c>
      <c r="C159" t="s">
        <v>21</v>
      </c>
      <c r="D159" t="s">
        <v>11</v>
      </c>
      <c r="E159">
        <v>5022.96</v>
      </c>
      <c r="F159">
        <v>1</v>
      </c>
      <c r="G159">
        <v>5022.96</v>
      </c>
      <c r="H159" s="1">
        <v>46201</v>
      </c>
      <c r="I159" t="s">
        <v>27</v>
      </c>
    </row>
    <row r="160" spans="1:9" x14ac:dyDescent="0.3">
      <c r="A160" t="s">
        <v>188</v>
      </c>
      <c r="B160" t="s">
        <v>20</v>
      </c>
      <c r="C160" t="s">
        <v>21</v>
      </c>
      <c r="D160" t="s">
        <v>16</v>
      </c>
      <c r="E160">
        <v>11017.51</v>
      </c>
      <c r="F160">
        <v>5</v>
      </c>
      <c r="G160">
        <v>55087.55</v>
      </c>
      <c r="H160" s="1">
        <v>46238</v>
      </c>
      <c r="I160" t="s">
        <v>17</v>
      </c>
    </row>
    <row r="161" spans="1:9" x14ac:dyDescent="0.3">
      <c r="A161" t="s">
        <v>189</v>
      </c>
      <c r="B161" t="s">
        <v>9</v>
      </c>
      <c r="C161" t="s">
        <v>10</v>
      </c>
      <c r="D161" t="s">
        <v>47</v>
      </c>
      <c r="E161">
        <v>2565.61</v>
      </c>
      <c r="F161">
        <v>3</v>
      </c>
      <c r="G161">
        <v>7696.83</v>
      </c>
      <c r="H161" s="1">
        <v>46050</v>
      </c>
      <c r="I161" t="s">
        <v>27</v>
      </c>
    </row>
    <row r="162" spans="1:9" x14ac:dyDescent="0.3">
      <c r="A162" t="s">
        <v>190</v>
      </c>
      <c r="B162" t="s">
        <v>24</v>
      </c>
      <c r="C162" t="s">
        <v>25</v>
      </c>
      <c r="D162" t="s">
        <v>11</v>
      </c>
      <c r="E162">
        <v>73681.52</v>
      </c>
      <c r="F162">
        <v>1</v>
      </c>
      <c r="G162">
        <v>73681.52</v>
      </c>
      <c r="H162" s="1">
        <v>46271</v>
      </c>
      <c r="I162" t="s">
        <v>17</v>
      </c>
    </row>
    <row r="163" spans="1:9" x14ac:dyDescent="0.3">
      <c r="A163" t="s">
        <v>191</v>
      </c>
      <c r="B163" t="s">
        <v>29</v>
      </c>
      <c r="C163" t="s">
        <v>30</v>
      </c>
      <c r="D163" t="s">
        <v>26</v>
      </c>
      <c r="E163">
        <v>48253.98</v>
      </c>
      <c r="F163">
        <v>2</v>
      </c>
      <c r="G163">
        <v>96507.96</v>
      </c>
      <c r="H163" s="1">
        <v>46270</v>
      </c>
      <c r="I163" t="s">
        <v>27</v>
      </c>
    </row>
    <row r="164" spans="1:9" x14ac:dyDescent="0.3">
      <c r="A164" t="s">
        <v>192</v>
      </c>
      <c r="B164" t="s">
        <v>38</v>
      </c>
      <c r="C164" t="s">
        <v>39</v>
      </c>
      <c r="D164" t="s">
        <v>47</v>
      </c>
      <c r="E164">
        <v>1226.31</v>
      </c>
      <c r="F164">
        <v>2</v>
      </c>
      <c r="G164">
        <v>2452.62</v>
      </c>
      <c r="H164" s="1">
        <v>46264</v>
      </c>
      <c r="I164" t="s">
        <v>17</v>
      </c>
    </row>
    <row r="165" spans="1:9" x14ac:dyDescent="0.3">
      <c r="A165" t="s">
        <v>193</v>
      </c>
      <c r="B165" t="s">
        <v>24</v>
      </c>
      <c r="C165" t="s">
        <v>25</v>
      </c>
      <c r="D165" t="s">
        <v>11</v>
      </c>
      <c r="E165">
        <v>53847.38</v>
      </c>
      <c r="F165">
        <v>1</v>
      </c>
      <c r="G165">
        <v>53847.38</v>
      </c>
      <c r="H165" s="1">
        <v>46311</v>
      </c>
      <c r="I165" t="s">
        <v>17</v>
      </c>
    </row>
    <row r="166" spans="1:9" x14ac:dyDescent="0.3">
      <c r="A166" t="s">
        <v>194</v>
      </c>
      <c r="B166" t="s">
        <v>14</v>
      </c>
      <c r="C166" t="s">
        <v>15</v>
      </c>
      <c r="D166" t="s">
        <v>11</v>
      </c>
      <c r="E166">
        <v>45379.72</v>
      </c>
      <c r="F166">
        <v>1</v>
      </c>
      <c r="G166">
        <v>45379.72</v>
      </c>
      <c r="H166" s="1">
        <v>46368</v>
      </c>
      <c r="I166" t="s">
        <v>12</v>
      </c>
    </row>
    <row r="167" spans="1:9" x14ac:dyDescent="0.3">
      <c r="A167" t="s">
        <v>195</v>
      </c>
      <c r="B167" t="s">
        <v>38</v>
      </c>
      <c r="C167" t="s">
        <v>39</v>
      </c>
      <c r="D167" t="s">
        <v>47</v>
      </c>
      <c r="E167">
        <v>5556.11</v>
      </c>
      <c r="F167">
        <v>4</v>
      </c>
      <c r="G167">
        <v>22224.44</v>
      </c>
      <c r="H167" s="1">
        <v>46333</v>
      </c>
      <c r="I167" t="s">
        <v>27</v>
      </c>
    </row>
    <row r="168" spans="1:9" x14ac:dyDescent="0.3">
      <c r="A168" t="s">
        <v>196</v>
      </c>
      <c r="B168" t="s">
        <v>9</v>
      </c>
      <c r="C168" t="s">
        <v>10</v>
      </c>
      <c r="D168" t="s">
        <v>47</v>
      </c>
      <c r="E168">
        <v>859.91</v>
      </c>
      <c r="F168">
        <v>1</v>
      </c>
      <c r="G168">
        <v>859.91</v>
      </c>
      <c r="H168" s="1">
        <v>46294</v>
      </c>
      <c r="I168" t="s">
        <v>12</v>
      </c>
    </row>
    <row r="169" spans="1:9" x14ac:dyDescent="0.3">
      <c r="A169" t="s">
        <v>197</v>
      </c>
      <c r="B169" t="s">
        <v>9</v>
      </c>
      <c r="C169" t="s">
        <v>10</v>
      </c>
      <c r="D169" t="s">
        <v>16</v>
      </c>
      <c r="E169">
        <v>2506.15</v>
      </c>
      <c r="F169">
        <v>2</v>
      </c>
      <c r="G169">
        <v>5012.3</v>
      </c>
      <c r="H169" s="1">
        <v>46381</v>
      </c>
      <c r="I169" t="s">
        <v>17</v>
      </c>
    </row>
    <row r="170" spans="1:9" x14ac:dyDescent="0.3">
      <c r="A170" t="s">
        <v>198</v>
      </c>
      <c r="B170" t="s">
        <v>38</v>
      </c>
      <c r="C170" t="s">
        <v>39</v>
      </c>
      <c r="D170" t="s">
        <v>47</v>
      </c>
      <c r="E170">
        <v>705.45</v>
      </c>
      <c r="F170">
        <v>3</v>
      </c>
      <c r="G170">
        <v>2116.35</v>
      </c>
      <c r="H170" s="1">
        <v>46269</v>
      </c>
      <c r="I170" t="s">
        <v>17</v>
      </c>
    </row>
    <row r="171" spans="1:9" x14ac:dyDescent="0.3">
      <c r="A171" t="s">
        <v>199</v>
      </c>
      <c r="B171" t="s">
        <v>29</v>
      </c>
      <c r="C171" t="s">
        <v>30</v>
      </c>
      <c r="D171" t="s">
        <v>11</v>
      </c>
      <c r="E171">
        <v>45626.76</v>
      </c>
      <c r="F171">
        <v>2</v>
      </c>
      <c r="G171">
        <v>91253.52</v>
      </c>
      <c r="H171" s="1">
        <v>46268</v>
      </c>
      <c r="I171" t="s">
        <v>17</v>
      </c>
    </row>
    <row r="172" spans="1:9" x14ac:dyDescent="0.3">
      <c r="A172" t="s">
        <v>200</v>
      </c>
      <c r="B172" t="s">
        <v>38</v>
      </c>
      <c r="C172" t="s">
        <v>39</v>
      </c>
      <c r="D172" t="s">
        <v>31</v>
      </c>
      <c r="E172">
        <v>4933.63</v>
      </c>
      <c r="F172">
        <v>9</v>
      </c>
      <c r="G172">
        <v>44402.67</v>
      </c>
      <c r="H172" s="1">
        <v>46220</v>
      </c>
      <c r="I172" t="s">
        <v>17</v>
      </c>
    </row>
    <row r="173" spans="1:9" x14ac:dyDescent="0.3">
      <c r="A173" t="s">
        <v>201</v>
      </c>
      <c r="B173" t="s">
        <v>14</v>
      </c>
      <c r="C173" t="s">
        <v>15</v>
      </c>
      <c r="D173" t="s">
        <v>47</v>
      </c>
      <c r="E173">
        <v>5408.68</v>
      </c>
      <c r="F173">
        <v>5</v>
      </c>
      <c r="G173">
        <v>27043.4</v>
      </c>
      <c r="H173" s="1">
        <v>46303</v>
      </c>
      <c r="I173" t="s">
        <v>27</v>
      </c>
    </row>
    <row r="174" spans="1:9" x14ac:dyDescent="0.3">
      <c r="A174" t="s">
        <v>202</v>
      </c>
      <c r="B174" t="s">
        <v>38</v>
      </c>
      <c r="C174" t="s">
        <v>39</v>
      </c>
      <c r="D174" t="s">
        <v>31</v>
      </c>
      <c r="E174">
        <v>3568.27</v>
      </c>
      <c r="F174">
        <v>3</v>
      </c>
      <c r="G174">
        <v>10704.81</v>
      </c>
      <c r="H174" s="1">
        <v>46049</v>
      </c>
      <c r="I174" t="s">
        <v>17</v>
      </c>
    </row>
    <row r="175" spans="1:9" x14ac:dyDescent="0.3">
      <c r="A175" t="s">
        <v>203</v>
      </c>
      <c r="B175" t="s">
        <v>29</v>
      </c>
      <c r="C175" t="s">
        <v>30</v>
      </c>
      <c r="D175" t="s">
        <v>47</v>
      </c>
      <c r="E175">
        <v>7878.22</v>
      </c>
      <c r="F175">
        <v>3</v>
      </c>
      <c r="G175">
        <v>23634.66</v>
      </c>
      <c r="H175" s="1">
        <v>46207</v>
      </c>
      <c r="I175" t="s">
        <v>27</v>
      </c>
    </row>
    <row r="176" spans="1:9" x14ac:dyDescent="0.3">
      <c r="A176" t="s">
        <v>204</v>
      </c>
      <c r="B176" t="s">
        <v>24</v>
      </c>
      <c r="C176" t="s">
        <v>25</v>
      </c>
      <c r="D176" t="s">
        <v>16</v>
      </c>
      <c r="E176">
        <v>8232.74</v>
      </c>
      <c r="F176">
        <v>1</v>
      </c>
      <c r="G176">
        <v>8232.74</v>
      </c>
      <c r="H176" s="1">
        <v>46178</v>
      </c>
      <c r="I176" t="s">
        <v>17</v>
      </c>
    </row>
    <row r="177" spans="1:9" x14ac:dyDescent="0.3">
      <c r="A177" t="s">
        <v>205</v>
      </c>
      <c r="B177" t="s">
        <v>24</v>
      </c>
      <c r="C177" t="s">
        <v>25</v>
      </c>
      <c r="D177" t="s">
        <v>47</v>
      </c>
      <c r="E177">
        <v>417.43</v>
      </c>
      <c r="F177">
        <v>4</v>
      </c>
      <c r="G177">
        <v>1669.72</v>
      </c>
      <c r="H177" s="1">
        <v>46356</v>
      </c>
      <c r="I177" t="s">
        <v>22</v>
      </c>
    </row>
    <row r="178" spans="1:9" x14ac:dyDescent="0.3">
      <c r="A178" t="s">
        <v>206</v>
      </c>
      <c r="B178" t="s">
        <v>14</v>
      </c>
      <c r="C178" t="s">
        <v>15</v>
      </c>
      <c r="D178" t="s">
        <v>16</v>
      </c>
      <c r="E178">
        <v>10443.969999999999</v>
      </c>
      <c r="F178">
        <v>1</v>
      </c>
      <c r="G178">
        <v>10443.969999999999</v>
      </c>
      <c r="H178" s="1">
        <v>46049</v>
      </c>
      <c r="I178" t="s">
        <v>17</v>
      </c>
    </row>
    <row r="179" spans="1:9" x14ac:dyDescent="0.3">
      <c r="A179" t="s">
        <v>207</v>
      </c>
      <c r="B179" t="s">
        <v>29</v>
      </c>
      <c r="C179" t="s">
        <v>30</v>
      </c>
      <c r="D179" t="s">
        <v>31</v>
      </c>
      <c r="E179">
        <v>1855.16</v>
      </c>
      <c r="F179">
        <v>1</v>
      </c>
      <c r="G179">
        <v>1855.16</v>
      </c>
      <c r="H179" s="1">
        <v>46257</v>
      </c>
      <c r="I179" t="s">
        <v>12</v>
      </c>
    </row>
    <row r="180" spans="1:9" x14ac:dyDescent="0.3">
      <c r="A180" t="s">
        <v>208</v>
      </c>
      <c r="B180" t="s">
        <v>29</v>
      </c>
      <c r="C180" t="s">
        <v>30</v>
      </c>
      <c r="D180" t="s">
        <v>11</v>
      </c>
      <c r="E180">
        <v>1123.78</v>
      </c>
      <c r="F180">
        <v>3</v>
      </c>
      <c r="G180">
        <v>3371.34</v>
      </c>
      <c r="H180" s="1">
        <v>46090</v>
      </c>
      <c r="I180" t="s">
        <v>27</v>
      </c>
    </row>
    <row r="181" spans="1:9" x14ac:dyDescent="0.3">
      <c r="A181" t="s">
        <v>209</v>
      </c>
      <c r="B181" t="s">
        <v>9</v>
      </c>
      <c r="C181" t="s">
        <v>10</v>
      </c>
      <c r="D181" t="s">
        <v>11</v>
      </c>
      <c r="E181">
        <v>38436.78</v>
      </c>
      <c r="F181">
        <v>1</v>
      </c>
      <c r="G181">
        <v>38436.78</v>
      </c>
      <c r="H181" s="1">
        <v>46345</v>
      </c>
      <c r="I181" t="s">
        <v>12</v>
      </c>
    </row>
    <row r="182" spans="1:9" x14ac:dyDescent="0.3">
      <c r="A182" t="s">
        <v>210</v>
      </c>
      <c r="B182" t="s">
        <v>29</v>
      </c>
      <c r="C182" t="s">
        <v>30</v>
      </c>
      <c r="D182" t="s">
        <v>47</v>
      </c>
      <c r="E182">
        <v>7502.42</v>
      </c>
      <c r="F182">
        <v>3</v>
      </c>
      <c r="G182">
        <v>22507.26</v>
      </c>
      <c r="H182" s="1">
        <v>46333</v>
      </c>
      <c r="I182" t="s">
        <v>12</v>
      </c>
    </row>
    <row r="183" spans="1:9" x14ac:dyDescent="0.3">
      <c r="A183" t="s">
        <v>211</v>
      </c>
      <c r="B183" t="s">
        <v>29</v>
      </c>
      <c r="C183" t="s">
        <v>30</v>
      </c>
      <c r="D183" t="s">
        <v>11</v>
      </c>
      <c r="E183">
        <v>19893.939999999999</v>
      </c>
      <c r="F183">
        <v>1</v>
      </c>
      <c r="G183">
        <v>19893.939999999999</v>
      </c>
      <c r="H183" s="1">
        <v>46108</v>
      </c>
      <c r="I183" t="s">
        <v>12</v>
      </c>
    </row>
    <row r="184" spans="1:9" x14ac:dyDescent="0.3">
      <c r="A184" t="s">
        <v>212</v>
      </c>
      <c r="B184" t="s">
        <v>14</v>
      </c>
      <c r="C184" t="s">
        <v>15</v>
      </c>
      <c r="D184" t="s">
        <v>11</v>
      </c>
      <c r="E184">
        <v>37270.28</v>
      </c>
      <c r="F184">
        <v>3</v>
      </c>
      <c r="G184">
        <v>111810.84</v>
      </c>
      <c r="H184" s="1">
        <v>46341</v>
      </c>
      <c r="I184" t="s">
        <v>12</v>
      </c>
    </row>
    <row r="185" spans="1:9" x14ac:dyDescent="0.3">
      <c r="A185" t="s">
        <v>213</v>
      </c>
      <c r="B185" t="s">
        <v>38</v>
      </c>
      <c r="C185" t="s">
        <v>39</v>
      </c>
      <c r="D185" t="s">
        <v>11</v>
      </c>
      <c r="E185">
        <v>13694.25</v>
      </c>
      <c r="F185">
        <v>3</v>
      </c>
      <c r="G185">
        <v>41082.75</v>
      </c>
      <c r="H185" s="1">
        <v>46204</v>
      </c>
      <c r="I185" t="s">
        <v>27</v>
      </c>
    </row>
    <row r="186" spans="1:9" x14ac:dyDescent="0.3">
      <c r="A186" t="s">
        <v>214</v>
      </c>
      <c r="B186" t="s">
        <v>9</v>
      </c>
      <c r="C186" t="s">
        <v>10</v>
      </c>
      <c r="D186" t="s">
        <v>11</v>
      </c>
      <c r="E186">
        <v>5080.8</v>
      </c>
      <c r="F186">
        <v>2</v>
      </c>
      <c r="G186">
        <v>10161.6</v>
      </c>
      <c r="H186" s="1">
        <v>46377</v>
      </c>
      <c r="I186" t="s">
        <v>22</v>
      </c>
    </row>
    <row r="187" spans="1:9" x14ac:dyDescent="0.3">
      <c r="A187" t="s">
        <v>215</v>
      </c>
      <c r="B187" t="s">
        <v>20</v>
      </c>
      <c r="C187" t="s">
        <v>21</v>
      </c>
      <c r="D187" t="s">
        <v>47</v>
      </c>
      <c r="E187">
        <v>736.31</v>
      </c>
      <c r="F187">
        <v>5</v>
      </c>
      <c r="G187">
        <v>3681.55</v>
      </c>
      <c r="H187" s="1">
        <v>46289</v>
      </c>
      <c r="I187" t="s">
        <v>27</v>
      </c>
    </row>
    <row r="188" spans="1:9" x14ac:dyDescent="0.3">
      <c r="A188" t="s">
        <v>216</v>
      </c>
      <c r="B188" t="s">
        <v>38</v>
      </c>
      <c r="C188" t="s">
        <v>39</v>
      </c>
      <c r="D188" t="s">
        <v>31</v>
      </c>
      <c r="E188">
        <v>3648.7</v>
      </c>
      <c r="F188">
        <v>5</v>
      </c>
      <c r="G188">
        <v>18243.5</v>
      </c>
      <c r="H188" s="1">
        <v>46035</v>
      </c>
      <c r="I188" t="s">
        <v>12</v>
      </c>
    </row>
    <row r="189" spans="1:9" x14ac:dyDescent="0.3">
      <c r="A189" t="s">
        <v>217</v>
      </c>
      <c r="B189" t="s">
        <v>24</v>
      </c>
      <c r="C189" t="s">
        <v>25</v>
      </c>
      <c r="D189" t="s">
        <v>33</v>
      </c>
      <c r="E189">
        <v>17322.27</v>
      </c>
      <c r="F189">
        <v>1</v>
      </c>
      <c r="G189">
        <v>17322.27</v>
      </c>
      <c r="H189" s="1">
        <v>46096</v>
      </c>
      <c r="I189" t="s">
        <v>22</v>
      </c>
    </row>
    <row r="190" spans="1:9" x14ac:dyDescent="0.3">
      <c r="A190" t="s">
        <v>218</v>
      </c>
      <c r="B190" t="s">
        <v>9</v>
      </c>
      <c r="C190" t="s">
        <v>10</v>
      </c>
      <c r="D190" t="s">
        <v>11</v>
      </c>
      <c r="E190">
        <v>11432.77</v>
      </c>
      <c r="F190">
        <v>1</v>
      </c>
      <c r="G190">
        <v>11432.77</v>
      </c>
      <c r="H190" s="1">
        <v>46170</v>
      </c>
      <c r="I190" t="s">
        <v>27</v>
      </c>
    </row>
    <row r="191" spans="1:9" x14ac:dyDescent="0.3">
      <c r="A191" t="s">
        <v>219</v>
      </c>
      <c r="B191" t="s">
        <v>38</v>
      </c>
      <c r="C191" t="s">
        <v>39</v>
      </c>
      <c r="D191" t="s">
        <v>26</v>
      </c>
      <c r="E191">
        <v>15127.61</v>
      </c>
      <c r="F191">
        <v>1</v>
      </c>
      <c r="G191">
        <v>15127.61</v>
      </c>
      <c r="H191" s="1">
        <v>46100</v>
      </c>
      <c r="I191" t="s">
        <v>12</v>
      </c>
    </row>
    <row r="192" spans="1:9" x14ac:dyDescent="0.3">
      <c r="A192" t="s">
        <v>220</v>
      </c>
      <c r="B192" t="s">
        <v>29</v>
      </c>
      <c r="C192" t="s">
        <v>30</v>
      </c>
      <c r="D192" t="s">
        <v>16</v>
      </c>
      <c r="E192">
        <v>2581.84</v>
      </c>
      <c r="F192">
        <v>2</v>
      </c>
      <c r="G192">
        <v>5163.68</v>
      </c>
      <c r="H192" s="1">
        <v>46071</v>
      </c>
      <c r="I192" t="s">
        <v>27</v>
      </c>
    </row>
    <row r="193" spans="1:9" x14ac:dyDescent="0.3">
      <c r="A193" t="s">
        <v>221</v>
      </c>
      <c r="B193" t="s">
        <v>38</v>
      </c>
      <c r="C193" t="s">
        <v>39</v>
      </c>
      <c r="D193" t="s">
        <v>31</v>
      </c>
      <c r="E193">
        <v>182.94</v>
      </c>
      <c r="F193">
        <v>4</v>
      </c>
      <c r="G193">
        <v>731.76</v>
      </c>
      <c r="H193" s="1">
        <v>46379</v>
      </c>
      <c r="I193" t="s">
        <v>22</v>
      </c>
    </row>
    <row r="194" spans="1:9" x14ac:dyDescent="0.3">
      <c r="A194" t="s">
        <v>222</v>
      </c>
      <c r="B194" t="s">
        <v>24</v>
      </c>
      <c r="C194" t="s">
        <v>25</v>
      </c>
      <c r="D194" t="s">
        <v>33</v>
      </c>
      <c r="E194">
        <v>11202.6</v>
      </c>
      <c r="F194">
        <v>1</v>
      </c>
      <c r="G194">
        <v>11202.6</v>
      </c>
      <c r="H194" s="1">
        <v>46340</v>
      </c>
      <c r="I194" t="s">
        <v>12</v>
      </c>
    </row>
    <row r="195" spans="1:9" x14ac:dyDescent="0.3">
      <c r="A195" t="s">
        <v>223</v>
      </c>
      <c r="B195" t="s">
        <v>9</v>
      </c>
      <c r="C195" t="s">
        <v>10</v>
      </c>
      <c r="D195" t="s">
        <v>33</v>
      </c>
      <c r="E195">
        <v>14088.47</v>
      </c>
      <c r="F195">
        <v>3</v>
      </c>
      <c r="G195">
        <v>42265.41</v>
      </c>
      <c r="H195" s="1">
        <v>46181</v>
      </c>
      <c r="I195" t="s">
        <v>27</v>
      </c>
    </row>
    <row r="196" spans="1:9" x14ac:dyDescent="0.3">
      <c r="A196" t="s">
        <v>224</v>
      </c>
      <c r="B196" t="s">
        <v>24</v>
      </c>
      <c r="C196" t="s">
        <v>25</v>
      </c>
      <c r="D196" t="s">
        <v>33</v>
      </c>
      <c r="E196">
        <v>13063.19</v>
      </c>
      <c r="F196">
        <v>1</v>
      </c>
      <c r="G196">
        <v>13063.19</v>
      </c>
      <c r="H196" s="1">
        <v>46101</v>
      </c>
      <c r="I196" t="s">
        <v>22</v>
      </c>
    </row>
    <row r="197" spans="1:9" x14ac:dyDescent="0.3">
      <c r="A197" t="s">
        <v>225</v>
      </c>
      <c r="B197" t="s">
        <v>24</v>
      </c>
      <c r="C197" t="s">
        <v>25</v>
      </c>
      <c r="D197" t="s">
        <v>11</v>
      </c>
      <c r="E197">
        <v>29593.57</v>
      </c>
      <c r="F197">
        <v>2</v>
      </c>
      <c r="G197">
        <v>59187.14</v>
      </c>
      <c r="H197" s="1">
        <v>46089</v>
      </c>
      <c r="I197" t="s">
        <v>12</v>
      </c>
    </row>
    <row r="198" spans="1:9" x14ac:dyDescent="0.3">
      <c r="A198" t="s">
        <v>226</v>
      </c>
      <c r="B198" t="s">
        <v>20</v>
      </c>
      <c r="C198" t="s">
        <v>21</v>
      </c>
      <c r="D198" t="s">
        <v>31</v>
      </c>
      <c r="E198">
        <v>2797.3</v>
      </c>
      <c r="F198">
        <v>4</v>
      </c>
      <c r="G198">
        <v>11189.2</v>
      </c>
      <c r="H198" s="1">
        <v>46357</v>
      </c>
      <c r="I198" t="s">
        <v>27</v>
      </c>
    </row>
    <row r="199" spans="1:9" x14ac:dyDescent="0.3">
      <c r="A199" t="s">
        <v>227</v>
      </c>
      <c r="B199" t="s">
        <v>9</v>
      </c>
      <c r="C199" t="s">
        <v>10</v>
      </c>
      <c r="D199" t="s">
        <v>26</v>
      </c>
      <c r="E199">
        <v>5610.87</v>
      </c>
      <c r="F199">
        <v>3</v>
      </c>
      <c r="G199">
        <v>16832.61</v>
      </c>
      <c r="H199" s="1">
        <v>46143</v>
      </c>
      <c r="I199" t="s">
        <v>17</v>
      </c>
    </row>
    <row r="200" spans="1:9" x14ac:dyDescent="0.3">
      <c r="A200" t="s">
        <v>228</v>
      </c>
      <c r="B200" t="s">
        <v>24</v>
      </c>
      <c r="C200" t="s">
        <v>25</v>
      </c>
      <c r="D200" t="s">
        <v>31</v>
      </c>
      <c r="E200">
        <v>813.8</v>
      </c>
      <c r="F200">
        <v>6</v>
      </c>
      <c r="G200">
        <v>4882.8</v>
      </c>
      <c r="H200" s="1">
        <v>46027</v>
      </c>
      <c r="I200" t="s">
        <v>27</v>
      </c>
    </row>
    <row r="201" spans="1:9" x14ac:dyDescent="0.3">
      <c r="A201" t="s">
        <v>229</v>
      </c>
      <c r="B201" t="s">
        <v>38</v>
      </c>
      <c r="C201" t="s">
        <v>39</v>
      </c>
      <c r="D201" t="s">
        <v>47</v>
      </c>
      <c r="E201">
        <v>7461.18</v>
      </c>
      <c r="F201">
        <v>5</v>
      </c>
      <c r="G201">
        <v>37305.9</v>
      </c>
      <c r="H201" s="1">
        <v>46168</v>
      </c>
      <c r="I201" t="s">
        <v>22</v>
      </c>
    </row>
    <row r="202" spans="1:9" x14ac:dyDescent="0.3">
      <c r="A202" t="s">
        <v>230</v>
      </c>
      <c r="B202" t="s">
        <v>9</v>
      </c>
      <c r="C202" t="s">
        <v>10</v>
      </c>
      <c r="D202" t="s">
        <v>16</v>
      </c>
      <c r="E202">
        <v>9209.64</v>
      </c>
      <c r="F202">
        <v>3</v>
      </c>
      <c r="G202">
        <v>27628.92</v>
      </c>
      <c r="H202" s="1">
        <v>46188</v>
      </c>
      <c r="I202" t="s">
        <v>27</v>
      </c>
    </row>
    <row r="203" spans="1:9" x14ac:dyDescent="0.3">
      <c r="A203" t="s">
        <v>231</v>
      </c>
      <c r="B203" t="s">
        <v>29</v>
      </c>
      <c r="C203" t="s">
        <v>30</v>
      </c>
      <c r="D203" t="s">
        <v>16</v>
      </c>
      <c r="E203">
        <v>11096.05</v>
      </c>
      <c r="F203">
        <v>2</v>
      </c>
      <c r="G203">
        <v>22192.1</v>
      </c>
      <c r="H203" s="1">
        <v>46250</v>
      </c>
      <c r="I203" t="s">
        <v>12</v>
      </c>
    </row>
    <row r="204" spans="1:9" x14ac:dyDescent="0.3">
      <c r="A204" t="s">
        <v>232</v>
      </c>
      <c r="B204" t="s">
        <v>14</v>
      </c>
      <c r="C204" t="s">
        <v>15</v>
      </c>
      <c r="D204" t="s">
        <v>47</v>
      </c>
      <c r="E204">
        <v>7341.77</v>
      </c>
      <c r="F204">
        <v>3</v>
      </c>
      <c r="G204">
        <v>22025.31</v>
      </c>
      <c r="H204" s="1">
        <v>46146</v>
      </c>
      <c r="I204" t="s">
        <v>12</v>
      </c>
    </row>
    <row r="205" spans="1:9" x14ac:dyDescent="0.3">
      <c r="A205" t="s">
        <v>233</v>
      </c>
      <c r="B205" t="s">
        <v>24</v>
      </c>
      <c r="C205" t="s">
        <v>25</v>
      </c>
      <c r="D205" t="s">
        <v>26</v>
      </c>
      <c r="E205">
        <v>32820.239999999998</v>
      </c>
      <c r="F205">
        <v>2</v>
      </c>
      <c r="G205">
        <v>65640.479999999996</v>
      </c>
      <c r="H205" s="1">
        <v>46359</v>
      </c>
      <c r="I205" t="s">
        <v>27</v>
      </c>
    </row>
    <row r="206" spans="1:9" x14ac:dyDescent="0.3">
      <c r="A206" t="s">
        <v>234</v>
      </c>
      <c r="B206" t="s">
        <v>24</v>
      </c>
      <c r="C206" t="s">
        <v>25</v>
      </c>
      <c r="D206" t="s">
        <v>11</v>
      </c>
      <c r="E206">
        <v>69675.31</v>
      </c>
      <c r="F206">
        <v>2</v>
      </c>
      <c r="G206">
        <v>139350.62</v>
      </c>
      <c r="H206" s="1">
        <v>46257</v>
      </c>
      <c r="I206" t="s">
        <v>17</v>
      </c>
    </row>
    <row r="207" spans="1:9" x14ac:dyDescent="0.3">
      <c r="A207" t="s">
        <v>235</v>
      </c>
      <c r="B207" t="s">
        <v>38</v>
      </c>
      <c r="C207" t="s">
        <v>39</v>
      </c>
      <c r="D207" t="s">
        <v>11</v>
      </c>
      <c r="E207">
        <v>31719.439999999999</v>
      </c>
      <c r="F207">
        <v>2</v>
      </c>
      <c r="G207">
        <v>63438.879999999997</v>
      </c>
      <c r="H207" s="1">
        <v>46383</v>
      </c>
      <c r="I207" t="s">
        <v>22</v>
      </c>
    </row>
    <row r="208" spans="1:9" x14ac:dyDescent="0.3">
      <c r="A208" t="s">
        <v>236</v>
      </c>
      <c r="B208" t="s">
        <v>24</v>
      </c>
      <c r="C208" t="s">
        <v>25</v>
      </c>
      <c r="D208" t="s">
        <v>26</v>
      </c>
      <c r="E208">
        <v>1177.2</v>
      </c>
      <c r="F208">
        <v>2</v>
      </c>
      <c r="G208">
        <v>2354.4</v>
      </c>
      <c r="H208" s="1">
        <v>46156</v>
      </c>
      <c r="I208" t="s">
        <v>12</v>
      </c>
    </row>
    <row r="209" spans="1:9" x14ac:dyDescent="0.3">
      <c r="A209" t="s">
        <v>237</v>
      </c>
      <c r="B209" t="s">
        <v>20</v>
      </c>
      <c r="C209" t="s">
        <v>21</v>
      </c>
      <c r="D209" t="s">
        <v>16</v>
      </c>
      <c r="E209">
        <v>1032.08</v>
      </c>
      <c r="F209">
        <v>2</v>
      </c>
      <c r="G209">
        <v>2064.16</v>
      </c>
      <c r="H209" s="1">
        <v>46260</v>
      </c>
      <c r="I209" t="s">
        <v>17</v>
      </c>
    </row>
    <row r="210" spans="1:9" x14ac:dyDescent="0.3">
      <c r="A210" t="s">
        <v>238</v>
      </c>
      <c r="B210" t="s">
        <v>24</v>
      </c>
      <c r="C210" t="s">
        <v>25</v>
      </c>
      <c r="D210" t="s">
        <v>31</v>
      </c>
      <c r="E210">
        <v>591.96</v>
      </c>
      <c r="F210">
        <v>4</v>
      </c>
      <c r="G210">
        <v>2367.84</v>
      </c>
      <c r="H210" s="1">
        <v>46156</v>
      </c>
      <c r="I210" t="s">
        <v>27</v>
      </c>
    </row>
    <row r="211" spans="1:9" x14ac:dyDescent="0.3">
      <c r="A211" t="s">
        <v>239</v>
      </c>
      <c r="B211" t="s">
        <v>14</v>
      </c>
      <c r="C211" t="s">
        <v>15</v>
      </c>
      <c r="D211" t="s">
        <v>31</v>
      </c>
      <c r="E211">
        <v>522</v>
      </c>
      <c r="F211">
        <v>10</v>
      </c>
      <c r="G211">
        <v>5220</v>
      </c>
      <c r="H211" s="1">
        <v>46278</v>
      </c>
      <c r="I211" t="s">
        <v>27</v>
      </c>
    </row>
    <row r="212" spans="1:9" x14ac:dyDescent="0.3">
      <c r="A212" t="s">
        <v>240</v>
      </c>
      <c r="B212" t="s">
        <v>20</v>
      </c>
      <c r="C212" t="s">
        <v>21</v>
      </c>
      <c r="D212" t="s">
        <v>47</v>
      </c>
      <c r="E212">
        <v>2878.45</v>
      </c>
      <c r="F212">
        <v>4</v>
      </c>
      <c r="G212">
        <v>11513.8</v>
      </c>
      <c r="H212" s="1">
        <v>46295</v>
      </c>
      <c r="I212" t="s">
        <v>12</v>
      </c>
    </row>
    <row r="213" spans="1:9" x14ac:dyDescent="0.3">
      <c r="A213" t="s">
        <v>241</v>
      </c>
      <c r="B213" t="s">
        <v>20</v>
      </c>
      <c r="C213" t="s">
        <v>21</v>
      </c>
      <c r="D213" t="s">
        <v>47</v>
      </c>
      <c r="E213">
        <v>5640.04</v>
      </c>
      <c r="F213">
        <v>1</v>
      </c>
      <c r="G213">
        <v>5640.04</v>
      </c>
      <c r="H213" s="1">
        <v>46140</v>
      </c>
      <c r="I213" t="s">
        <v>17</v>
      </c>
    </row>
    <row r="214" spans="1:9" x14ac:dyDescent="0.3">
      <c r="A214" t="s">
        <v>242</v>
      </c>
      <c r="B214" t="s">
        <v>24</v>
      </c>
      <c r="C214" t="s">
        <v>25</v>
      </c>
      <c r="D214" t="s">
        <v>16</v>
      </c>
      <c r="E214">
        <v>9550.59</v>
      </c>
      <c r="F214">
        <v>5</v>
      </c>
      <c r="G214">
        <v>47752.95</v>
      </c>
      <c r="H214" s="1">
        <v>46365</v>
      </c>
      <c r="I214" t="s">
        <v>12</v>
      </c>
    </row>
    <row r="215" spans="1:9" x14ac:dyDescent="0.3">
      <c r="A215" t="s">
        <v>243</v>
      </c>
      <c r="B215" t="s">
        <v>9</v>
      </c>
      <c r="C215" t="s">
        <v>10</v>
      </c>
      <c r="D215" t="s">
        <v>31</v>
      </c>
      <c r="E215">
        <v>2971.56</v>
      </c>
      <c r="F215">
        <v>8</v>
      </c>
      <c r="G215">
        <v>23772.48</v>
      </c>
      <c r="H215" s="1">
        <v>46335</v>
      </c>
      <c r="I215" t="s">
        <v>17</v>
      </c>
    </row>
    <row r="216" spans="1:9" x14ac:dyDescent="0.3">
      <c r="A216" t="s">
        <v>244</v>
      </c>
      <c r="B216" t="s">
        <v>20</v>
      </c>
      <c r="C216" t="s">
        <v>21</v>
      </c>
      <c r="D216" t="s">
        <v>31</v>
      </c>
      <c r="E216">
        <v>774.86</v>
      </c>
      <c r="F216">
        <v>1</v>
      </c>
      <c r="G216">
        <v>774.86</v>
      </c>
      <c r="H216" s="1">
        <v>46349</v>
      </c>
      <c r="I216" t="s">
        <v>12</v>
      </c>
    </row>
    <row r="217" spans="1:9" x14ac:dyDescent="0.3">
      <c r="A217" t="s">
        <v>245</v>
      </c>
      <c r="B217" t="s">
        <v>9</v>
      </c>
      <c r="C217" t="s">
        <v>10</v>
      </c>
      <c r="D217" t="s">
        <v>16</v>
      </c>
      <c r="E217">
        <v>9050.4500000000007</v>
      </c>
      <c r="F217">
        <v>4</v>
      </c>
      <c r="G217">
        <v>36201.800000000003</v>
      </c>
      <c r="H217" s="1">
        <v>46102</v>
      </c>
      <c r="I217" t="s">
        <v>27</v>
      </c>
    </row>
    <row r="218" spans="1:9" x14ac:dyDescent="0.3">
      <c r="A218" t="s">
        <v>246</v>
      </c>
      <c r="B218" t="s">
        <v>24</v>
      </c>
      <c r="C218" t="s">
        <v>25</v>
      </c>
      <c r="D218" t="s">
        <v>31</v>
      </c>
      <c r="E218">
        <v>1806.27</v>
      </c>
      <c r="F218">
        <v>6</v>
      </c>
      <c r="G218">
        <v>10837.62</v>
      </c>
      <c r="H218" s="1">
        <v>46285</v>
      </c>
      <c r="I218" t="s">
        <v>27</v>
      </c>
    </row>
    <row r="219" spans="1:9" x14ac:dyDescent="0.3">
      <c r="A219" t="s">
        <v>247</v>
      </c>
      <c r="B219" t="s">
        <v>24</v>
      </c>
      <c r="C219" t="s">
        <v>25</v>
      </c>
      <c r="D219" t="s">
        <v>16</v>
      </c>
      <c r="E219">
        <v>452.02</v>
      </c>
      <c r="F219">
        <v>5</v>
      </c>
      <c r="G219">
        <v>2260.1</v>
      </c>
      <c r="H219" s="1">
        <v>46061</v>
      </c>
      <c r="I219" t="s">
        <v>12</v>
      </c>
    </row>
    <row r="220" spans="1:9" x14ac:dyDescent="0.3">
      <c r="A220" t="s">
        <v>248</v>
      </c>
      <c r="B220" t="s">
        <v>29</v>
      </c>
      <c r="C220" t="s">
        <v>30</v>
      </c>
      <c r="D220" t="s">
        <v>26</v>
      </c>
      <c r="E220">
        <v>14748.84</v>
      </c>
      <c r="F220">
        <v>2</v>
      </c>
      <c r="G220">
        <v>29497.68</v>
      </c>
      <c r="H220" s="1">
        <v>46061</v>
      </c>
      <c r="I220" t="s">
        <v>12</v>
      </c>
    </row>
    <row r="221" spans="1:9" x14ac:dyDescent="0.3">
      <c r="A221" t="s">
        <v>249</v>
      </c>
      <c r="B221" t="s">
        <v>38</v>
      </c>
      <c r="C221" t="s">
        <v>39</v>
      </c>
      <c r="D221" t="s">
        <v>11</v>
      </c>
      <c r="E221">
        <v>25330.560000000001</v>
      </c>
      <c r="F221">
        <v>2</v>
      </c>
      <c r="G221">
        <v>50661.120000000003</v>
      </c>
      <c r="H221" s="1">
        <v>46378</v>
      </c>
      <c r="I221" t="s">
        <v>17</v>
      </c>
    </row>
    <row r="222" spans="1:9" x14ac:dyDescent="0.3">
      <c r="A222" t="s">
        <v>250</v>
      </c>
      <c r="B222" t="s">
        <v>38</v>
      </c>
      <c r="C222" t="s">
        <v>39</v>
      </c>
      <c r="D222" t="s">
        <v>11</v>
      </c>
      <c r="E222">
        <v>21149.02</v>
      </c>
      <c r="F222">
        <v>1</v>
      </c>
      <c r="G222">
        <v>21149.02</v>
      </c>
      <c r="H222" s="1">
        <v>46078</v>
      </c>
      <c r="I222" t="s">
        <v>17</v>
      </c>
    </row>
    <row r="223" spans="1:9" x14ac:dyDescent="0.3">
      <c r="A223" t="s">
        <v>251</v>
      </c>
      <c r="B223" t="s">
        <v>14</v>
      </c>
      <c r="C223" t="s">
        <v>15</v>
      </c>
      <c r="D223" t="s">
        <v>11</v>
      </c>
      <c r="E223">
        <v>61040.77</v>
      </c>
      <c r="F223">
        <v>1</v>
      </c>
      <c r="G223">
        <v>61040.77</v>
      </c>
      <c r="H223" s="1">
        <v>46338</v>
      </c>
      <c r="I223" t="s">
        <v>17</v>
      </c>
    </row>
    <row r="224" spans="1:9" x14ac:dyDescent="0.3">
      <c r="A224" t="s">
        <v>252</v>
      </c>
      <c r="B224" t="s">
        <v>20</v>
      </c>
      <c r="C224" t="s">
        <v>21</v>
      </c>
      <c r="D224" t="s">
        <v>33</v>
      </c>
      <c r="E224">
        <v>15270.55</v>
      </c>
      <c r="F224">
        <v>3</v>
      </c>
      <c r="G224">
        <v>45811.65</v>
      </c>
      <c r="H224" s="1">
        <v>46180</v>
      </c>
      <c r="I224" t="s">
        <v>17</v>
      </c>
    </row>
    <row r="225" spans="1:9" x14ac:dyDescent="0.3">
      <c r="A225" t="s">
        <v>253</v>
      </c>
      <c r="B225" t="s">
        <v>29</v>
      </c>
      <c r="C225" t="s">
        <v>30</v>
      </c>
      <c r="D225" t="s">
        <v>26</v>
      </c>
      <c r="E225">
        <v>35082.050000000003</v>
      </c>
      <c r="F225">
        <v>3</v>
      </c>
      <c r="G225">
        <v>105246.15</v>
      </c>
      <c r="H225" s="1">
        <v>46133</v>
      </c>
      <c r="I225" t="s">
        <v>27</v>
      </c>
    </row>
    <row r="226" spans="1:9" x14ac:dyDescent="0.3">
      <c r="A226" t="s">
        <v>254</v>
      </c>
      <c r="B226" t="s">
        <v>38</v>
      </c>
      <c r="C226" t="s">
        <v>39</v>
      </c>
      <c r="D226" t="s">
        <v>11</v>
      </c>
      <c r="E226">
        <v>11114.18</v>
      </c>
      <c r="F226">
        <v>3</v>
      </c>
      <c r="G226">
        <v>33342.54</v>
      </c>
      <c r="H226" s="1">
        <v>46049</v>
      </c>
      <c r="I226" t="s">
        <v>12</v>
      </c>
    </row>
    <row r="227" spans="1:9" x14ac:dyDescent="0.3">
      <c r="A227" t="s">
        <v>255</v>
      </c>
      <c r="B227" t="s">
        <v>29</v>
      </c>
      <c r="C227" t="s">
        <v>30</v>
      </c>
      <c r="D227" t="s">
        <v>33</v>
      </c>
      <c r="E227">
        <v>16214.33</v>
      </c>
      <c r="F227">
        <v>4</v>
      </c>
      <c r="G227">
        <v>64857.32</v>
      </c>
      <c r="H227" s="1">
        <v>46269</v>
      </c>
      <c r="I227" t="s">
        <v>27</v>
      </c>
    </row>
    <row r="228" spans="1:9" x14ac:dyDescent="0.3">
      <c r="A228" t="s">
        <v>256</v>
      </c>
      <c r="B228" t="s">
        <v>24</v>
      </c>
      <c r="C228" t="s">
        <v>25</v>
      </c>
      <c r="D228" t="s">
        <v>16</v>
      </c>
      <c r="E228">
        <v>8222.9599999999991</v>
      </c>
      <c r="F228">
        <v>4</v>
      </c>
      <c r="G228">
        <v>32891.839999999997</v>
      </c>
      <c r="H228" s="1">
        <v>46286</v>
      </c>
      <c r="I228" t="s">
        <v>12</v>
      </c>
    </row>
    <row r="229" spans="1:9" x14ac:dyDescent="0.3">
      <c r="A229" t="s">
        <v>257</v>
      </c>
      <c r="B229" t="s">
        <v>14</v>
      </c>
      <c r="C229" t="s">
        <v>15</v>
      </c>
      <c r="D229" t="s">
        <v>16</v>
      </c>
      <c r="E229">
        <v>2579.6</v>
      </c>
      <c r="F229">
        <v>3</v>
      </c>
      <c r="G229">
        <v>7738.8</v>
      </c>
      <c r="H229" s="1">
        <v>46193</v>
      </c>
      <c r="I229" t="s">
        <v>27</v>
      </c>
    </row>
    <row r="230" spans="1:9" x14ac:dyDescent="0.3">
      <c r="A230" t="s">
        <v>258</v>
      </c>
      <c r="B230" t="s">
        <v>20</v>
      </c>
      <c r="C230" t="s">
        <v>21</v>
      </c>
      <c r="D230" t="s">
        <v>33</v>
      </c>
      <c r="E230">
        <v>13067.45</v>
      </c>
      <c r="F230">
        <v>2</v>
      </c>
      <c r="G230">
        <v>26134.9</v>
      </c>
      <c r="H230" s="1">
        <v>46318</v>
      </c>
      <c r="I230" t="s">
        <v>27</v>
      </c>
    </row>
    <row r="231" spans="1:9" x14ac:dyDescent="0.3">
      <c r="A231" t="s">
        <v>259</v>
      </c>
      <c r="B231" t="s">
        <v>24</v>
      </c>
      <c r="C231" t="s">
        <v>25</v>
      </c>
      <c r="D231" t="s">
        <v>11</v>
      </c>
      <c r="E231">
        <v>36676.559999999998</v>
      </c>
      <c r="F231">
        <v>3</v>
      </c>
      <c r="G231">
        <v>110029.68</v>
      </c>
      <c r="H231" s="1">
        <v>46140</v>
      </c>
      <c r="I231" t="s">
        <v>22</v>
      </c>
    </row>
    <row r="232" spans="1:9" x14ac:dyDescent="0.3">
      <c r="A232" t="s">
        <v>260</v>
      </c>
      <c r="B232" t="s">
        <v>24</v>
      </c>
      <c r="C232" t="s">
        <v>25</v>
      </c>
      <c r="D232" t="s">
        <v>11</v>
      </c>
      <c r="E232">
        <v>33399.769999999997</v>
      </c>
      <c r="F232">
        <v>1</v>
      </c>
      <c r="G232">
        <v>33399.769999999997</v>
      </c>
      <c r="H232" s="1">
        <v>46224</v>
      </c>
      <c r="I232" t="s">
        <v>17</v>
      </c>
    </row>
    <row r="233" spans="1:9" x14ac:dyDescent="0.3">
      <c r="A233" t="s">
        <v>261</v>
      </c>
      <c r="B233" t="s">
        <v>14</v>
      </c>
      <c r="C233" t="s">
        <v>15</v>
      </c>
      <c r="D233" t="s">
        <v>26</v>
      </c>
      <c r="E233">
        <v>6494.04</v>
      </c>
      <c r="F233">
        <v>1</v>
      </c>
      <c r="G233">
        <v>6494.04</v>
      </c>
      <c r="H233" s="1">
        <v>46127</v>
      </c>
      <c r="I233" t="s">
        <v>22</v>
      </c>
    </row>
    <row r="234" spans="1:9" x14ac:dyDescent="0.3">
      <c r="A234" t="s">
        <v>262</v>
      </c>
      <c r="B234" t="s">
        <v>29</v>
      </c>
      <c r="C234" t="s">
        <v>30</v>
      </c>
      <c r="D234" t="s">
        <v>11</v>
      </c>
      <c r="E234">
        <v>39258.18</v>
      </c>
      <c r="F234">
        <v>3</v>
      </c>
      <c r="G234">
        <v>117774.54</v>
      </c>
      <c r="H234" s="1">
        <v>46235</v>
      </c>
      <c r="I234" t="s">
        <v>27</v>
      </c>
    </row>
    <row r="235" spans="1:9" x14ac:dyDescent="0.3">
      <c r="A235" t="s">
        <v>263</v>
      </c>
      <c r="B235" t="s">
        <v>20</v>
      </c>
      <c r="C235" t="s">
        <v>21</v>
      </c>
      <c r="D235" t="s">
        <v>26</v>
      </c>
      <c r="E235">
        <v>5896.66</v>
      </c>
      <c r="F235">
        <v>2</v>
      </c>
      <c r="G235">
        <v>11793.32</v>
      </c>
      <c r="H235" s="1">
        <v>46072</v>
      </c>
      <c r="I235" t="s">
        <v>12</v>
      </c>
    </row>
    <row r="236" spans="1:9" x14ac:dyDescent="0.3">
      <c r="A236" t="s">
        <v>264</v>
      </c>
      <c r="B236" t="s">
        <v>29</v>
      </c>
      <c r="C236" t="s">
        <v>30</v>
      </c>
      <c r="D236" t="s">
        <v>11</v>
      </c>
      <c r="E236">
        <v>12987.6</v>
      </c>
      <c r="F236">
        <v>2</v>
      </c>
      <c r="G236">
        <v>25975.200000000001</v>
      </c>
      <c r="H236" s="1">
        <v>46196</v>
      </c>
      <c r="I236" t="s">
        <v>12</v>
      </c>
    </row>
    <row r="237" spans="1:9" x14ac:dyDescent="0.3">
      <c r="A237" t="s">
        <v>265</v>
      </c>
      <c r="B237" t="s">
        <v>9</v>
      </c>
      <c r="C237" t="s">
        <v>10</v>
      </c>
      <c r="D237" t="s">
        <v>11</v>
      </c>
      <c r="E237">
        <v>10634.94</v>
      </c>
      <c r="F237">
        <v>3</v>
      </c>
      <c r="G237">
        <v>31904.82</v>
      </c>
      <c r="H237" s="1">
        <v>46223</v>
      </c>
      <c r="I237" t="s">
        <v>12</v>
      </c>
    </row>
    <row r="238" spans="1:9" x14ac:dyDescent="0.3">
      <c r="A238" t="s">
        <v>266</v>
      </c>
      <c r="B238" t="s">
        <v>14</v>
      </c>
      <c r="C238" t="s">
        <v>15</v>
      </c>
      <c r="D238" t="s">
        <v>11</v>
      </c>
      <c r="E238">
        <v>71594.83</v>
      </c>
      <c r="F238">
        <v>3</v>
      </c>
      <c r="G238">
        <v>214784.49</v>
      </c>
      <c r="H238" s="1">
        <v>46226</v>
      </c>
      <c r="I238" t="s">
        <v>27</v>
      </c>
    </row>
    <row r="239" spans="1:9" x14ac:dyDescent="0.3">
      <c r="A239" t="s">
        <v>267</v>
      </c>
      <c r="B239" t="s">
        <v>9</v>
      </c>
      <c r="C239" t="s">
        <v>10</v>
      </c>
      <c r="D239" t="s">
        <v>16</v>
      </c>
      <c r="E239">
        <v>3632.92</v>
      </c>
      <c r="F239">
        <v>2</v>
      </c>
      <c r="G239">
        <v>7265.84</v>
      </c>
      <c r="H239" s="1">
        <v>46186</v>
      </c>
      <c r="I239" t="s">
        <v>17</v>
      </c>
    </row>
    <row r="240" spans="1:9" x14ac:dyDescent="0.3">
      <c r="A240" t="s">
        <v>268</v>
      </c>
      <c r="B240" t="s">
        <v>24</v>
      </c>
      <c r="C240" t="s">
        <v>25</v>
      </c>
      <c r="D240" t="s">
        <v>11</v>
      </c>
      <c r="E240">
        <v>27156.16</v>
      </c>
      <c r="F240">
        <v>2</v>
      </c>
      <c r="G240">
        <v>54312.32</v>
      </c>
      <c r="H240" s="1">
        <v>46257</v>
      </c>
      <c r="I240" t="s">
        <v>17</v>
      </c>
    </row>
    <row r="241" spans="1:9" x14ac:dyDescent="0.3">
      <c r="A241" t="s">
        <v>269</v>
      </c>
      <c r="B241" t="s">
        <v>24</v>
      </c>
      <c r="C241" t="s">
        <v>25</v>
      </c>
      <c r="D241" t="s">
        <v>11</v>
      </c>
      <c r="E241">
        <v>24698.38</v>
      </c>
      <c r="F241">
        <v>2</v>
      </c>
      <c r="G241">
        <v>49396.76</v>
      </c>
      <c r="H241" s="1">
        <v>46209</v>
      </c>
      <c r="I241" t="s">
        <v>22</v>
      </c>
    </row>
    <row r="242" spans="1:9" x14ac:dyDescent="0.3">
      <c r="A242" t="s">
        <v>270</v>
      </c>
      <c r="B242" t="s">
        <v>9</v>
      </c>
      <c r="C242" t="s">
        <v>10</v>
      </c>
      <c r="D242" t="s">
        <v>47</v>
      </c>
      <c r="E242">
        <v>7196.18</v>
      </c>
      <c r="F242">
        <v>4</v>
      </c>
      <c r="G242">
        <v>28784.720000000001</v>
      </c>
      <c r="H242" s="1">
        <v>46126</v>
      </c>
      <c r="I242" t="s">
        <v>27</v>
      </c>
    </row>
    <row r="243" spans="1:9" x14ac:dyDescent="0.3">
      <c r="A243" t="s">
        <v>271</v>
      </c>
      <c r="B243" t="s">
        <v>9</v>
      </c>
      <c r="C243" t="s">
        <v>10</v>
      </c>
      <c r="D243" t="s">
        <v>31</v>
      </c>
      <c r="E243">
        <v>2836.68</v>
      </c>
      <c r="F243">
        <v>10</v>
      </c>
      <c r="G243">
        <v>28366.799999999999</v>
      </c>
      <c r="H243" s="1">
        <v>46101</v>
      </c>
      <c r="I243" t="s">
        <v>27</v>
      </c>
    </row>
    <row r="244" spans="1:9" x14ac:dyDescent="0.3">
      <c r="A244" t="s">
        <v>272</v>
      </c>
      <c r="B244" t="s">
        <v>38</v>
      </c>
      <c r="C244" t="s">
        <v>39</v>
      </c>
      <c r="D244" t="s">
        <v>31</v>
      </c>
      <c r="E244">
        <v>4599.84</v>
      </c>
      <c r="F244">
        <v>6</v>
      </c>
      <c r="G244">
        <v>27599.040000000001</v>
      </c>
      <c r="H244" s="1">
        <v>46259</v>
      </c>
      <c r="I244" t="s">
        <v>17</v>
      </c>
    </row>
    <row r="245" spans="1:9" x14ac:dyDescent="0.3">
      <c r="A245" t="s">
        <v>273</v>
      </c>
      <c r="B245" t="s">
        <v>14</v>
      </c>
      <c r="C245" t="s">
        <v>15</v>
      </c>
      <c r="D245" t="s">
        <v>11</v>
      </c>
      <c r="E245">
        <v>23054.43</v>
      </c>
      <c r="F245">
        <v>3</v>
      </c>
      <c r="G245">
        <v>69163.289999999994</v>
      </c>
      <c r="H245" s="1">
        <v>46365</v>
      </c>
      <c r="I245" t="s">
        <v>27</v>
      </c>
    </row>
    <row r="246" spans="1:9" x14ac:dyDescent="0.3">
      <c r="A246" t="s">
        <v>274</v>
      </c>
      <c r="B246" t="s">
        <v>20</v>
      </c>
      <c r="C246" t="s">
        <v>21</v>
      </c>
      <c r="D246" t="s">
        <v>31</v>
      </c>
      <c r="E246">
        <v>618.42999999999995</v>
      </c>
      <c r="F246">
        <v>6</v>
      </c>
      <c r="G246">
        <v>3710.58</v>
      </c>
      <c r="H246" s="1">
        <v>46297</v>
      </c>
      <c r="I246" t="s">
        <v>17</v>
      </c>
    </row>
    <row r="247" spans="1:9" x14ac:dyDescent="0.3">
      <c r="A247" t="s">
        <v>275</v>
      </c>
      <c r="B247" t="s">
        <v>9</v>
      </c>
      <c r="C247" t="s">
        <v>10</v>
      </c>
      <c r="D247" t="s">
        <v>31</v>
      </c>
      <c r="E247">
        <v>2803.28</v>
      </c>
      <c r="F247">
        <v>9</v>
      </c>
      <c r="G247">
        <v>25229.52</v>
      </c>
      <c r="H247" s="1">
        <v>46256</v>
      </c>
      <c r="I247" t="s">
        <v>27</v>
      </c>
    </row>
    <row r="248" spans="1:9" x14ac:dyDescent="0.3">
      <c r="A248" t="s">
        <v>276</v>
      </c>
      <c r="B248" t="s">
        <v>20</v>
      </c>
      <c r="C248" t="s">
        <v>21</v>
      </c>
      <c r="D248" t="s">
        <v>26</v>
      </c>
      <c r="E248">
        <v>17931.310000000001</v>
      </c>
      <c r="F248">
        <v>2</v>
      </c>
      <c r="G248">
        <v>35862.620000000003</v>
      </c>
      <c r="H248" s="1">
        <v>46359</v>
      </c>
      <c r="I248" t="s">
        <v>27</v>
      </c>
    </row>
    <row r="249" spans="1:9" x14ac:dyDescent="0.3">
      <c r="A249" t="s">
        <v>277</v>
      </c>
      <c r="B249" t="s">
        <v>14</v>
      </c>
      <c r="C249" t="s">
        <v>15</v>
      </c>
      <c r="D249" t="s">
        <v>11</v>
      </c>
      <c r="E249">
        <v>60301.49</v>
      </c>
      <c r="F249">
        <v>2</v>
      </c>
      <c r="G249">
        <v>120602.98</v>
      </c>
      <c r="H249" s="1">
        <v>46351</v>
      </c>
      <c r="I249" t="s">
        <v>22</v>
      </c>
    </row>
    <row r="250" spans="1:9" x14ac:dyDescent="0.3">
      <c r="A250" t="s">
        <v>278</v>
      </c>
      <c r="B250" t="s">
        <v>38</v>
      </c>
      <c r="C250" t="s">
        <v>39</v>
      </c>
      <c r="D250" t="s">
        <v>33</v>
      </c>
      <c r="E250">
        <v>17624.64</v>
      </c>
      <c r="F250">
        <v>2</v>
      </c>
      <c r="G250">
        <v>35249.279999999999</v>
      </c>
      <c r="H250" s="1">
        <v>46207</v>
      </c>
      <c r="I250" t="s">
        <v>17</v>
      </c>
    </row>
    <row r="251" spans="1:9" x14ac:dyDescent="0.3">
      <c r="A251" t="s">
        <v>279</v>
      </c>
      <c r="B251" t="s">
        <v>14</v>
      </c>
      <c r="C251" t="s">
        <v>15</v>
      </c>
      <c r="D251" t="s">
        <v>33</v>
      </c>
      <c r="E251">
        <v>9609.7000000000007</v>
      </c>
      <c r="F251">
        <v>4</v>
      </c>
      <c r="G251">
        <v>38438.800000000003</v>
      </c>
      <c r="H251" s="1">
        <v>46062</v>
      </c>
      <c r="I251" t="s">
        <v>17</v>
      </c>
    </row>
    <row r="252" spans="1:9" x14ac:dyDescent="0.3">
      <c r="A252" t="s">
        <v>280</v>
      </c>
      <c r="B252" t="s">
        <v>20</v>
      </c>
      <c r="C252" t="s">
        <v>21</v>
      </c>
      <c r="D252" t="s">
        <v>11</v>
      </c>
      <c r="E252">
        <v>72874.84</v>
      </c>
      <c r="F252">
        <v>2</v>
      </c>
      <c r="G252">
        <v>145749.68</v>
      </c>
      <c r="H252" s="1">
        <v>46254</v>
      </c>
      <c r="I252" t="s">
        <v>22</v>
      </c>
    </row>
    <row r="253" spans="1:9" x14ac:dyDescent="0.3">
      <c r="A253" t="s">
        <v>281</v>
      </c>
      <c r="B253" t="s">
        <v>9</v>
      </c>
      <c r="C253" t="s">
        <v>10</v>
      </c>
      <c r="D253" t="s">
        <v>11</v>
      </c>
      <c r="E253">
        <v>41833.57</v>
      </c>
      <c r="F253">
        <v>1</v>
      </c>
      <c r="G253">
        <v>41833.57</v>
      </c>
      <c r="H253" s="1">
        <v>46250</v>
      </c>
      <c r="I253" t="s">
        <v>12</v>
      </c>
    </row>
    <row r="254" spans="1:9" x14ac:dyDescent="0.3">
      <c r="A254" t="s">
        <v>282</v>
      </c>
      <c r="B254" t="s">
        <v>14</v>
      </c>
      <c r="C254" t="s">
        <v>15</v>
      </c>
      <c r="D254" t="s">
        <v>11</v>
      </c>
      <c r="E254">
        <v>20902.29</v>
      </c>
      <c r="F254">
        <v>1</v>
      </c>
      <c r="G254">
        <v>20902.29</v>
      </c>
      <c r="H254" s="1">
        <v>46124</v>
      </c>
      <c r="I254" t="s">
        <v>17</v>
      </c>
    </row>
    <row r="255" spans="1:9" x14ac:dyDescent="0.3">
      <c r="A255" t="s">
        <v>283</v>
      </c>
      <c r="B255" t="s">
        <v>38</v>
      </c>
      <c r="C255" t="s">
        <v>39</v>
      </c>
      <c r="D255" t="s">
        <v>26</v>
      </c>
      <c r="E255">
        <v>24959.8</v>
      </c>
      <c r="F255">
        <v>2</v>
      </c>
      <c r="G255">
        <v>49919.6</v>
      </c>
      <c r="H255" s="1">
        <v>46333</v>
      </c>
      <c r="I255" t="s">
        <v>22</v>
      </c>
    </row>
    <row r="256" spans="1:9" x14ac:dyDescent="0.3">
      <c r="A256" t="s">
        <v>284</v>
      </c>
      <c r="B256" t="s">
        <v>38</v>
      </c>
      <c r="C256" t="s">
        <v>39</v>
      </c>
      <c r="D256" t="s">
        <v>11</v>
      </c>
      <c r="E256">
        <v>3568.42</v>
      </c>
      <c r="F256">
        <v>3</v>
      </c>
      <c r="G256">
        <v>10705.26</v>
      </c>
      <c r="H256" s="1">
        <v>46340</v>
      </c>
      <c r="I256" t="s">
        <v>12</v>
      </c>
    </row>
    <row r="257" spans="1:9" x14ac:dyDescent="0.3">
      <c r="A257" t="s">
        <v>285</v>
      </c>
      <c r="B257" t="s">
        <v>9</v>
      </c>
      <c r="C257" t="s">
        <v>10</v>
      </c>
      <c r="D257" t="s">
        <v>47</v>
      </c>
      <c r="E257">
        <v>6451.61</v>
      </c>
      <c r="F257">
        <v>3</v>
      </c>
      <c r="G257">
        <v>19354.830000000002</v>
      </c>
      <c r="H257" s="1">
        <v>46143</v>
      </c>
      <c r="I257" t="s">
        <v>22</v>
      </c>
    </row>
    <row r="258" spans="1:9" x14ac:dyDescent="0.3">
      <c r="A258" t="s">
        <v>286</v>
      </c>
      <c r="B258" t="s">
        <v>9</v>
      </c>
      <c r="C258" t="s">
        <v>10</v>
      </c>
      <c r="D258" t="s">
        <v>47</v>
      </c>
      <c r="E258">
        <v>901.34</v>
      </c>
      <c r="F258">
        <v>3</v>
      </c>
      <c r="G258">
        <v>2704.02</v>
      </c>
      <c r="H258" s="1">
        <v>46197</v>
      </c>
      <c r="I258" t="s">
        <v>12</v>
      </c>
    </row>
    <row r="259" spans="1:9" x14ac:dyDescent="0.3">
      <c r="A259" t="s">
        <v>287</v>
      </c>
      <c r="B259" t="s">
        <v>24</v>
      </c>
      <c r="C259" t="s">
        <v>25</v>
      </c>
      <c r="D259" t="s">
        <v>47</v>
      </c>
      <c r="E259">
        <v>2539.11</v>
      </c>
      <c r="F259">
        <v>4</v>
      </c>
      <c r="G259">
        <v>10156.44</v>
      </c>
      <c r="H259" s="1">
        <v>46094</v>
      </c>
      <c r="I259" t="s">
        <v>12</v>
      </c>
    </row>
    <row r="260" spans="1:9" x14ac:dyDescent="0.3">
      <c r="A260" t="s">
        <v>288</v>
      </c>
      <c r="B260" t="s">
        <v>24</v>
      </c>
      <c r="C260" t="s">
        <v>25</v>
      </c>
      <c r="D260" t="s">
        <v>16</v>
      </c>
      <c r="E260">
        <v>6914.2</v>
      </c>
      <c r="F260">
        <v>3</v>
      </c>
      <c r="G260">
        <v>20742.599999999999</v>
      </c>
      <c r="H260" s="1">
        <v>46088</v>
      </c>
      <c r="I260" t="s">
        <v>27</v>
      </c>
    </row>
    <row r="261" spans="1:9" x14ac:dyDescent="0.3">
      <c r="A261" t="s">
        <v>289</v>
      </c>
      <c r="B261" t="s">
        <v>20</v>
      </c>
      <c r="C261" t="s">
        <v>21</v>
      </c>
      <c r="D261" t="s">
        <v>33</v>
      </c>
      <c r="E261">
        <v>1146.6099999999999</v>
      </c>
      <c r="F261">
        <v>4</v>
      </c>
      <c r="G261">
        <v>4586.4399999999996</v>
      </c>
      <c r="H261" s="1">
        <v>46119</v>
      </c>
      <c r="I261" t="s">
        <v>17</v>
      </c>
    </row>
    <row r="262" spans="1:9" x14ac:dyDescent="0.3">
      <c r="A262" t="s">
        <v>290</v>
      </c>
      <c r="B262" t="s">
        <v>24</v>
      </c>
      <c r="C262" t="s">
        <v>25</v>
      </c>
      <c r="D262" t="s">
        <v>11</v>
      </c>
      <c r="E262">
        <v>6685.31</v>
      </c>
      <c r="F262">
        <v>2</v>
      </c>
      <c r="G262">
        <v>13370.62</v>
      </c>
      <c r="H262" s="1">
        <v>46156</v>
      </c>
      <c r="I262" t="s">
        <v>22</v>
      </c>
    </row>
    <row r="263" spans="1:9" x14ac:dyDescent="0.3">
      <c r="A263" t="s">
        <v>291</v>
      </c>
      <c r="B263" t="s">
        <v>9</v>
      </c>
      <c r="C263" t="s">
        <v>10</v>
      </c>
      <c r="D263" t="s">
        <v>31</v>
      </c>
      <c r="E263">
        <v>3495.78</v>
      </c>
      <c r="F263">
        <v>8</v>
      </c>
      <c r="G263">
        <v>27966.240000000002</v>
      </c>
      <c r="H263" s="1">
        <v>46122</v>
      </c>
      <c r="I263" t="s">
        <v>12</v>
      </c>
    </row>
    <row r="264" spans="1:9" x14ac:dyDescent="0.3">
      <c r="A264" t="s">
        <v>292</v>
      </c>
      <c r="B264" t="s">
        <v>38</v>
      </c>
      <c r="C264" t="s">
        <v>39</v>
      </c>
      <c r="D264" t="s">
        <v>31</v>
      </c>
      <c r="E264">
        <v>405.3</v>
      </c>
      <c r="F264">
        <v>8</v>
      </c>
      <c r="G264">
        <v>3242.4</v>
      </c>
      <c r="H264" s="1">
        <v>46078</v>
      </c>
      <c r="I264" t="s">
        <v>17</v>
      </c>
    </row>
    <row r="265" spans="1:9" x14ac:dyDescent="0.3">
      <c r="A265" t="s">
        <v>293</v>
      </c>
      <c r="B265" t="s">
        <v>24</v>
      </c>
      <c r="C265" t="s">
        <v>25</v>
      </c>
      <c r="D265" t="s">
        <v>33</v>
      </c>
      <c r="E265">
        <v>9698.5300000000007</v>
      </c>
      <c r="F265">
        <v>3</v>
      </c>
      <c r="G265">
        <v>29095.59</v>
      </c>
      <c r="H265" s="1">
        <v>46186</v>
      </c>
      <c r="I265" t="s">
        <v>27</v>
      </c>
    </row>
    <row r="266" spans="1:9" x14ac:dyDescent="0.3">
      <c r="A266" t="s">
        <v>294</v>
      </c>
      <c r="B266" t="s">
        <v>29</v>
      </c>
      <c r="C266" t="s">
        <v>30</v>
      </c>
      <c r="D266" t="s">
        <v>16</v>
      </c>
      <c r="E266">
        <v>4262.74</v>
      </c>
      <c r="F266">
        <v>1</v>
      </c>
      <c r="G266">
        <v>4262.74</v>
      </c>
      <c r="H266" s="1">
        <v>46250</v>
      </c>
      <c r="I266" t="s">
        <v>22</v>
      </c>
    </row>
    <row r="267" spans="1:9" x14ac:dyDescent="0.3">
      <c r="A267" t="s">
        <v>295</v>
      </c>
      <c r="B267" t="s">
        <v>24</v>
      </c>
      <c r="C267" t="s">
        <v>25</v>
      </c>
      <c r="D267" t="s">
        <v>47</v>
      </c>
      <c r="E267">
        <v>1901.83</v>
      </c>
      <c r="F267">
        <v>3</v>
      </c>
      <c r="G267">
        <v>5705.49</v>
      </c>
      <c r="H267" s="1">
        <v>46141</v>
      </c>
      <c r="I267" t="s">
        <v>27</v>
      </c>
    </row>
    <row r="268" spans="1:9" x14ac:dyDescent="0.3">
      <c r="A268" t="s">
        <v>296</v>
      </c>
      <c r="B268" t="s">
        <v>38</v>
      </c>
      <c r="C268" t="s">
        <v>39</v>
      </c>
      <c r="D268" t="s">
        <v>11</v>
      </c>
      <c r="E268">
        <v>14807.39</v>
      </c>
      <c r="F268">
        <v>1</v>
      </c>
      <c r="G268">
        <v>14807.39</v>
      </c>
      <c r="H268" s="1">
        <v>46217</v>
      </c>
      <c r="I268" t="s">
        <v>12</v>
      </c>
    </row>
    <row r="269" spans="1:9" x14ac:dyDescent="0.3">
      <c r="A269" t="s">
        <v>297</v>
      </c>
      <c r="B269" t="s">
        <v>24</v>
      </c>
      <c r="C269" t="s">
        <v>25</v>
      </c>
      <c r="D269" t="s">
        <v>33</v>
      </c>
      <c r="E269">
        <v>15339.2</v>
      </c>
      <c r="F269">
        <v>3</v>
      </c>
      <c r="G269">
        <v>46017.599999999999</v>
      </c>
      <c r="H269" s="1">
        <v>46122</v>
      </c>
      <c r="I269" t="s">
        <v>17</v>
      </c>
    </row>
    <row r="270" spans="1:9" x14ac:dyDescent="0.3">
      <c r="A270" t="s">
        <v>298</v>
      </c>
      <c r="B270" t="s">
        <v>24</v>
      </c>
      <c r="C270" t="s">
        <v>25</v>
      </c>
      <c r="D270" t="s">
        <v>16</v>
      </c>
      <c r="E270">
        <v>11433.04</v>
      </c>
      <c r="F270">
        <v>1</v>
      </c>
      <c r="G270">
        <v>11433.04</v>
      </c>
      <c r="H270" s="1">
        <v>46279</v>
      </c>
      <c r="I270" t="s">
        <v>12</v>
      </c>
    </row>
    <row r="271" spans="1:9" x14ac:dyDescent="0.3">
      <c r="A271" t="s">
        <v>299</v>
      </c>
      <c r="B271" t="s">
        <v>24</v>
      </c>
      <c r="C271" t="s">
        <v>25</v>
      </c>
      <c r="D271" t="s">
        <v>16</v>
      </c>
      <c r="E271">
        <v>1940.1</v>
      </c>
      <c r="F271">
        <v>3</v>
      </c>
      <c r="G271">
        <v>5820.3</v>
      </c>
      <c r="H271" s="1">
        <v>46259</v>
      </c>
      <c r="I271" t="s">
        <v>12</v>
      </c>
    </row>
    <row r="272" spans="1:9" x14ac:dyDescent="0.3">
      <c r="A272" t="s">
        <v>300</v>
      </c>
      <c r="B272" t="s">
        <v>24</v>
      </c>
      <c r="C272" t="s">
        <v>25</v>
      </c>
      <c r="D272" t="s">
        <v>33</v>
      </c>
      <c r="E272">
        <v>19205.72</v>
      </c>
      <c r="F272">
        <v>2</v>
      </c>
      <c r="G272">
        <v>38411.440000000002</v>
      </c>
      <c r="H272" s="1">
        <v>46373</v>
      </c>
      <c r="I272" t="s">
        <v>22</v>
      </c>
    </row>
    <row r="273" spans="1:9" x14ac:dyDescent="0.3">
      <c r="A273" t="s">
        <v>301</v>
      </c>
      <c r="B273" t="s">
        <v>24</v>
      </c>
      <c r="C273" t="s">
        <v>25</v>
      </c>
      <c r="D273" t="s">
        <v>31</v>
      </c>
      <c r="E273">
        <v>2994.07</v>
      </c>
      <c r="F273">
        <v>1</v>
      </c>
      <c r="G273">
        <v>2994.07</v>
      </c>
      <c r="H273" s="1">
        <v>46042</v>
      </c>
      <c r="I273" t="s">
        <v>22</v>
      </c>
    </row>
    <row r="274" spans="1:9" x14ac:dyDescent="0.3">
      <c r="A274" t="s">
        <v>302</v>
      </c>
      <c r="B274" t="s">
        <v>24</v>
      </c>
      <c r="C274" t="s">
        <v>25</v>
      </c>
      <c r="D274" t="s">
        <v>31</v>
      </c>
      <c r="E274">
        <v>3226.22</v>
      </c>
      <c r="F274">
        <v>2</v>
      </c>
      <c r="G274">
        <v>6452.44</v>
      </c>
      <c r="H274" s="1">
        <v>46334</v>
      </c>
      <c r="I274" t="s">
        <v>12</v>
      </c>
    </row>
    <row r="275" spans="1:9" x14ac:dyDescent="0.3">
      <c r="A275" t="s">
        <v>303</v>
      </c>
      <c r="B275" t="s">
        <v>20</v>
      </c>
      <c r="C275" t="s">
        <v>21</v>
      </c>
      <c r="D275" t="s">
        <v>26</v>
      </c>
      <c r="E275">
        <v>35786.39</v>
      </c>
      <c r="F275">
        <v>2</v>
      </c>
      <c r="G275">
        <v>71572.78</v>
      </c>
      <c r="H275" s="1">
        <v>46147</v>
      </c>
      <c r="I275" t="s">
        <v>12</v>
      </c>
    </row>
    <row r="276" spans="1:9" x14ac:dyDescent="0.3">
      <c r="A276" t="s">
        <v>304</v>
      </c>
      <c r="B276" t="s">
        <v>20</v>
      </c>
      <c r="C276" t="s">
        <v>21</v>
      </c>
      <c r="D276" t="s">
        <v>11</v>
      </c>
      <c r="E276">
        <v>53045.62</v>
      </c>
      <c r="F276">
        <v>1</v>
      </c>
      <c r="G276">
        <v>53045.62</v>
      </c>
      <c r="H276" s="1">
        <v>46047</v>
      </c>
      <c r="I276" t="s">
        <v>12</v>
      </c>
    </row>
    <row r="277" spans="1:9" x14ac:dyDescent="0.3">
      <c r="A277" t="s">
        <v>305</v>
      </c>
      <c r="B277" t="s">
        <v>38</v>
      </c>
      <c r="C277" t="s">
        <v>39</v>
      </c>
      <c r="D277" t="s">
        <v>31</v>
      </c>
      <c r="E277">
        <v>4108.0600000000004</v>
      </c>
      <c r="F277">
        <v>9</v>
      </c>
      <c r="G277">
        <v>36972.54</v>
      </c>
      <c r="H277" s="1">
        <v>46274</v>
      </c>
      <c r="I277" t="s">
        <v>27</v>
      </c>
    </row>
    <row r="278" spans="1:9" x14ac:dyDescent="0.3">
      <c r="A278" t="s">
        <v>306</v>
      </c>
      <c r="B278" t="s">
        <v>38</v>
      </c>
      <c r="C278" t="s">
        <v>39</v>
      </c>
      <c r="D278" t="s">
        <v>11</v>
      </c>
      <c r="E278">
        <v>36673.370000000003</v>
      </c>
      <c r="F278">
        <v>3</v>
      </c>
      <c r="G278">
        <v>110020.11</v>
      </c>
      <c r="H278" s="1">
        <v>46085</v>
      </c>
      <c r="I278" t="s">
        <v>22</v>
      </c>
    </row>
    <row r="279" spans="1:9" x14ac:dyDescent="0.3">
      <c r="A279" t="s">
        <v>307</v>
      </c>
      <c r="B279" t="s">
        <v>14</v>
      </c>
      <c r="C279" t="s">
        <v>15</v>
      </c>
      <c r="D279" t="s">
        <v>11</v>
      </c>
      <c r="E279">
        <v>40375.21</v>
      </c>
      <c r="F279">
        <v>3</v>
      </c>
      <c r="G279">
        <v>121125.63</v>
      </c>
      <c r="H279" s="1">
        <v>46087</v>
      </c>
      <c r="I279" t="s">
        <v>27</v>
      </c>
    </row>
    <row r="280" spans="1:9" x14ac:dyDescent="0.3">
      <c r="A280" t="s">
        <v>308</v>
      </c>
      <c r="B280" t="s">
        <v>9</v>
      </c>
      <c r="C280" t="s">
        <v>10</v>
      </c>
      <c r="D280" t="s">
        <v>47</v>
      </c>
      <c r="E280">
        <v>2658.23</v>
      </c>
      <c r="F280">
        <v>1</v>
      </c>
      <c r="G280">
        <v>2658.23</v>
      </c>
      <c r="H280" s="1">
        <v>46380</v>
      </c>
      <c r="I280" t="s">
        <v>12</v>
      </c>
    </row>
    <row r="281" spans="1:9" x14ac:dyDescent="0.3">
      <c r="A281" t="s">
        <v>309</v>
      </c>
      <c r="B281" t="s">
        <v>9</v>
      </c>
      <c r="C281" t="s">
        <v>10</v>
      </c>
      <c r="D281" t="s">
        <v>26</v>
      </c>
      <c r="E281">
        <v>6157.62</v>
      </c>
      <c r="F281">
        <v>3</v>
      </c>
      <c r="G281">
        <v>18472.86</v>
      </c>
      <c r="H281" s="1">
        <v>46103</v>
      </c>
      <c r="I281" t="s">
        <v>22</v>
      </c>
    </row>
    <row r="282" spans="1:9" x14ac:dyDescent="0.3">
      <c r="A282" t="s">
        <v>310</v>
      </c>
      <c r="B282" t="s">
        <v>24</v>
      </c>
      <c r="C282" t="s">
        <v>25</v>
      </c>
      <c r="D282" t="s">
        <v>31</v>
      </c>
      <c r="E282">
        <v>3339.97</v>
      </c>
      <c r="F282">
        <v>7</v>
      </c>
      <c r="G282">
        <v>23379.79</v>
      </c>
      <c r="H282" s="1">
        <v>46222</v>
      </c>
      <c r="I282" t="s">
        <v>17</v>
      </c>
    </row>
    <row r="283" spans="1:9" x14ac:dyDescent="0.3">
      <c r="A283" t="s">
        <v>311</v>
      </c>
      <c r="B283" t="s">
        <v>24</v>
      </c>
      <c r="C283" t="s">
        <v>25</v>
      </c>
      <c r="D283" t="s">
        <v>31</v>
      </c>
      <c r="E283">
        <v>216.37</v>
      </c>
      <c r="F283">
        <v>4</v>
      </c>
      <c r="G283">
        <v>865.48</v>
      </c>
      <c r="H283" s="1">
        <v>46096</v>
      </c>
      <c r="I283" t="s">
        <v>27</v>
      </c>
    </row>
    <row r="284" spans="1:9" x14ac:dyDescent="0.3">
      <c r="A284" t="s">
        <v>312</v>
      </c>
      <c r="B284" t="s">
        <v>38</v>
      </c>
      <c r="C284" t="s">
        <v>39</v>
      </c>
      <c r="D284" t="s">
        <v>16</v>
      </c>
      <c r="E284">
        <v>3524.93</v>
      </c>
      <c r="F284">
        <v>1</v>
      </c>
      <c r="G284">
        <v>3524.93</v>
      </c>
      <c r="H284" s="1">
        <v>46068</v>
      </c>
      <c r="I284" t="s">
        <v>17</v>
      </c>
    </row>
    <row r="285" spans="1:9" x14ac:dyDescent="0.3">
      <c r="A285" t="s">
        <v>313</v>
      </c>
      <c r="B285" t="s">
        <v>38</v>
      </c>
      <c r="C285" t="s">
        <v>39</v>
      </c>
      <c r="D285" t="s">
        <v>26</v>
      </c>
      <c r="E285">
        <v>5617.26</v>
      </c>
      <c r="F285">
        <v>2</v>
      </c>
      <c r="G285">
        <v>11234.52</v>
      </c>
      <c r="H285" s="1">
        <v>46023</v>
      </c>
      <c r="I285" t="s">
        <v>12</v>
      </c>
    </row>
    <row r="286" spans="1:9" x14ac:dyDescent="0.3">
      <c r="A286" t="s">
        <v>314</v>
      </c>
      <c r="B286" t="s">
        <v>20</v>
      </c>
      <c r="C286" t="s">
        <v>21</v>
      </c>
      <c r="D286" t="s">
        <v>33</v>
      </c>
      <c r="E286">
        <v>4057.32</v>
      </c>
      <c r="F286">
        <v>4</v>
      </c>
      <c r="G286">
        <v>16229.28</v>
      </c>
      <c r="H286" s="1">
        <v>46028</v>
      </c>
      <c r="I286" t="s">
        <v>27</v>
      </c>
    </row>
    <row r="287" spans="1:9" x14ac:dyDescent="0.3">
      <c r="A287" t="s">
        <v>315</v>
      </c>
      <c r="B287" t="s">
        <v>14</v>
      </c>
      <c r="C287" t="s">
        <v>15</v>
      </c>
      <c r="D287" t="s">
        <v>33</v>
      </c>
      <c r="E287">
        <v>12883</v>
      </c>
      <c r="F287">
        <v>1</v>
      </c>
      <c r="G287">
        <v>12883</v>
      </c>
      <c r="H287" s="1">
        <v>46195</v>
      </c>
      <c r="I287" t="s">
        <v>27</v>
      </c>
    </row>
    <row r="288" spans="1:9" x14ac:dyDescent="0.3">
      <c r="A288" t="s">
        <v>316</v>
      </c>
      <c r="B288" t="s">
        <v>24</v>
      </c>
      <c r="C288" t="s">
        <v>25</v>
      </c>
      <c r="D288" t="s">
        <v>31</v>
      </c>
      <c r="E288">
        <v>3160.96</v>
      </c>
      <c r="F288">
        <v>1</v>
      </c>
      <c r="G288">
        <v>3160.96</v>
      </c>
      <c r="H288" s="1">
        <v>46181</v>
      </c>
      <c r="I288" t="s">
        <v>12</v>
      </c>
    </row>
    <row r="289" spans="1:9" x14ac:dyDescent="0.3">
      <c r="A289" t="s">
        <v>317</v>
      </c>
      <c r="B289" t="s">
        <v>38</v>
      </c>
      <c r="C289" t="s">
        <v>39</v>
      </c>
      <c r="D289" t="s">
        <v>31</v>
      </c>
      <c r="E289">
        <v>2134.2199999999998</v>
      </c>
      <c r="F289">
        <v>4</v>
      </c>
      <c r="G289">
        <v>8536.8799999999992</v>
      </c>
      <c r="H289" s="1">
        <v>46037</v>
      </c>
      <c r="I289" t="s">
        <v>12</v>
      </c>
    </row>
    <row r="290" spans="1:9" x14ac:dyDescent="0.3">
      <c r="A290" t="s">
        <v>318</v>
      </c>
      <c r="B290" t="s">
        <v>14</v>
      </c>
      <c r="C290" t="s">
        <v>15</v>
      </c>
      <c r="D290" t="s">
        <v>16</v>
      </c>
      <c r="E290">
        <v>1355.01</v>
      </c>
      <c r="F290">
        <v>3</v>
      </c>
      <c r="G290">
        <v>4065.03</v>
      </c>
      <c r="H290" s="1">
        <v>46150</v>
      </c>
      <c r="I290" t="s">
        <v>27</v>
      </c>
    </row>
    <row r="291" spans="1:9" x14ac:dyDescent="0.3">
      <c r="A291" t="s">
        <v>319</v>
      </c>
      <c r="B291" t="s">
        <v>24</v>
      </c>
      <c r="C291" t="s">
        <v>25</v>
      </c>
      <c r="D291" t="s">
        <v>16</v>
      </c>
      <c r="E291">
        <v>5370.47</v>
      </c>
      <c r="F291">
        <v>3</v>
      </c>
      <c r="G291">
        <v>16111.41</v>
      </c>
      <c r="H291" s="1">
        <v>46122</v>
      </c>
      <c r="I291" t="s">
        <v>27</v>
      </c>
    </row>
    <row r="292" spans="1:9" x14ac:dyDescent="0.3">
      <c r="A292" t="s">
        <v>320</v>
      </c>
      <c r="B292" t="s">
        <v>9</v>
      </c>
      <c r="C292" t="s">
        <v>10</v>
      </c>
      <c r="D292" t="s">
        <v>16</v>
      </c>
      <c r="E292">
        <v>4427.12</v>
      </c>
      <c r="F292">
        <v>3</v>
      </c>
      <c r="G292">
        <v>13281.36</v>
      </c>
      <c r="H292" s="1">
        <v>46231</v>
      </c>
      <c r="I292" t="s">
        <v>12</v>
      </c>
    </row>
    <row r="293" spans="1:9" x14ac:dyDescent="0.3">
      <c r="A293" t="s">
        <v>321</v>
      </c>
      <c r="B293" t="s">
        <v>24</v>
      </c>
      <c r="C293" t="s">
        <v>25</v>
      </c>
      <c r="D293" t="s">
        <v>26</v>
      </c>
      <c r="E293">
        <v>36302.5</v>
      </c>
      <c r="F293">
        <v>1</v>
      </c>
      <c r="G293">
        <v>36302.5</v>
      </c>
      <c r="H293" s="1">
        <v>46386</v>
      </c>
      <c r="I293" t="s">
        <v>12</v>
      </c>
    </row>
    <row r="294" spans="1:9" x14ac:dyDescent="0.3">
      <c r="A294" t="s">
        <v>322</v>
      </c>
      <c r="B294" t="s">
        <v>29</v>
      </c>
      <c r="C294" t="s">
        <v>30</v>
      </c>
      <c r="D294" t="s">
        <v>16</v>
      </c>
      <c r="E294">
        <v>7074.61</v>
      </c>
      <c r="F294">
        <v>1</v>
      </c>
      <c r="G294">
        <v>7074.61</v>
      </c>
      <c r="H294" s="1">
        <v>46275</v>
      </c>
      <c r="I294" t="s">
        <v>22</v>
      </c>
    </row>
    <row r="295" spans="1:9" x14ac:dyDescent="0.3">
      <c r="A295" t="s">
        <v>323</v>
      </c>
      <c r="B295" t="s">
        <v>24</v>
      </c>
      <c r="C295" t="s">
        <v>25</v>
      </c>
      <c r="D295" t="s">
        <v>31</v>
      </c>
      <c r="E295">
        <v>2483.25</v>
      </c>
      <c r="F295">
        <v>1</v>
      </c>
      <c r="G295">
        <v>2483.25</v>
      </c>
      <c r="H295" s="1">
        <v>46358</v>
      </c>
      <c r="I295" t="s">
        <v>17</v>
      </c>
    </row>
    <row r="296" spans="1:9" x14ac:dyDescent="0.3">
      <c r="A296" t="s">
        <v>324</v>
      </c>
      <c r="B296" t="s">
        <v>9</v>
      </c>
      <c r="C296" t="s">
        <v>10</v>
      </c>
      <c r="D296" t="s">
        <v>31</v>
      </c>
      <c r="E296">
        <v>2460.56</v>
      </c>
      <c r="F296">
        <v>1</v>
      </c>
      <c r="G296">
        <v>2460.56</v>
      </c>
      <c r="H296" s="1">
        <v>46093</v>
      </c>
      <c r="I296" t="s">
        <v>27</v>
      </c>
    </row>
    <row r="297" spans="1:9" x14ac:dyDescent="0.3">
      <c r="A297" t="s">
        <v>325</v>
      </c>
      <c r="B297" t="s">
        <v>29</v>
      </c>
      <c r="C297" t="s">
        <v>30</v>
      </c>
      <c r="D297" t="s">
        <v>31</v>
      </c>
      <c r="E297">
        <v>4833.17</v>
      </c>
      <c r="F297">
        <v>7</v>
      </c>
      <c r="G297">
        <v>33832.19</v>
      </c>
      <c r="H297" s="1">
        <v>46101</v>
      </c>
      <c r="I297" t="s">
        <v>27</v>
      </c>
    </row>
    <row r="298" spans="1:9" x14ac:dyDescent="0.3">
      <c r="A298" t="s">
        <v>326</v>
      </c>
      <c r="B298" t="s">
        <v>29</v>
      </c>
      <c r="C298" t="s">
        <v>30</v>
      </c>
      <c r="D298" t="s">
        <v>11</v>
      </c>
      <c r="E298">
        <v>56917.03</v>
      </c>
      <c r="F298">
        <v>3</v>
      </c>
      <c r="G298">
        <v>170751.09</v>
      </c>
      <c r="H298" s="1">
        <v>46297</v>
      </c>
      <c r="I298" t="s">
        <v>12</v>
      </c>
    </row>
    <row r="299" spans="1:9" x14ac:dyDescent="0.3">
      <c r="A299" t="s">
        <v>327</v>
      </c>
      <c r="B299" t="s">
        <v>9</v>
      </c>
      <c r="C299" t="s">
        <v>10</v>
      </c>
      <c r="D299" t="s">
        <v>11</v>
      </c>
      <c r="E299">
        <v>37675.879999999997</v>
      </c>
      <c r="F299">
        <v>2</v>
      </c>
      <c r="G299">
        <v>75351.759999999995</v>
      </c>
      <c r="H299" s="1">
        <v>46136</v>
      </c>
      <c r="I299" t="s">
        <v>27</v>
      </c>
    </row>
    <row r="300" spans="1:9" x14ac:dyDescent="0.3">
      <c r="A300" t="s">
        <v>328</v>
      </c>
      <c r="B300" t="s">
        <v>9</v>
      </c>
      <c r="C300" t="s">
        <v>10</v>
      </c>
      <c r="D300" t="s">
        <v>26</v>
      </c>
      <c r="E300">
        <v>24481.91</v>
      </c>
      <c r="F300">
        <v>1</v>
      </c>
      <c r="G300">
        <v>24481.91</v>
      </c>
      <c r="H300" s="1">
        <v>46332</v>
      </c>
      <c r="I300" t="s">
        <v>27</v>
      </c>
    </row>
    <row r="301" spans="1:9" x14ac:dyDescent="0.3">
      <c r="A301" t="s">
        <v>329</v>
      </c>
      <c r="B301" t="s">
        <v>20</v>
      </c>
      <c r="C301" t="s">
        <v>21</v>
      </c>
      <c r="D301" t="s">
        <v>31</v>
      </c>
      <c r="E301">
        <v>181.07</v>
      </c>
      <c r="F301">
        <v>5</v>
      </c>
      <c r="G301">
        <v>905.35</v>
      </c>
      <c r="H301" s="1">
        <v>46192</v>
      </c>
      <c r="I301" t="s">
        <v>12</v>
      </c>
    </row>
    <row r="302" spans="1:9" x14ac:dyDescent="0.3">
      <c r="A302" t="s">
        <v>330</v>
      </c>
      <c r="B302" t="s">
        <v>9</v>
      </c>
      <c r="C302" t="s">
        <v>10</v>
      </c>
      <c r="D302" t="s">
        <v>11</v>
      </c>
      <c r="E302">
        <v>70734.19</v>
      </c>
      <c r="F302">
        <v>3</v>
      </c>
      <c r="G302">
        <v>212202.57</v>
      </c>
      <c r="H302" s="1">
        <v>46096</v>
      </c>
      <c r="I302" t="s">
        <v>12</v>
      </c>
    </row>
    <row r="303" spans="1:9" x14ac:dyDescent="0.3">
      <c r="A303" t="s">
        <v>331</v>
      </c>
      <c r="B303" t="s">
        <v>24</v>
      </c>
      <c r="C303" t="s">
        <v>25</v>
      </c>
      <c r="D303" t="s">
        <v>16</v>
      </c>
      <c r="E303">
        <v>4034.34</v>
      </c>
      <c r="F303">
        <v>2</v>
      </c>
      <c r="G303">
        <v>8068.68</v>
      </c>
      <c r="H303" s="1">
        <v>46331</v>
      </c>
      <c r="I303" t="s">
        <v>12</v>
      </c>
    </row>
    <row r="304" spans="1:9" x14ac:dyDescent="0.3">
      <c r="A304" t="s">
        <v>332</v>
      </c>
      <c r="B304" t="s">
        <v>14</v>
      </c>
      <c r="C304" t="s">
        <v>15</v>
      </c>
      <c r="D304" t="s">
        <v>47</v>
      </c>
      <c r="E304">
        <v>2121.92</v>
      </c>
      <c r="F304">
        <v>3</v>
      </c>
      <c r="G304">
        <v>6365.76</v>
      </c>
      <c r="H304" s="1">
        <v>46223</v>
      </c>
      <c r="I304" t="s">
        <v>17</v>
      </c>
    </row>
    <row r="305" spans="1:9" x14ac:dyDescent="0.3">
      <c r="A305" t="s">
        <v>333</v>
      </c>
      <c r="B305" t="s">
        <v>14</v>
      </c>
      <c r="C305" t="s">
        <v>15</v>
      </c>
      <c r="D305" t="s">
        <v>31</v>
      </c>
      <c r="E305">
        <v>4997.07</v>
      </c>
      <c r="F305">
        <v>6</v>
      </c>
      <c r="G305">
        <v>29982.42</v>
      </c>
      <c r="H305" s="1">
        <v>46315</v>
      </c>
      <c r="I305" t="s">
        <v>17</v>
      </c>
    </row>
    <row r="306" spans="1:9" x14ac:dyDescent="0.3">
      <c r="A306" t="s">
        <v>334</v>
      </c>
      <c r="B306" t="s">
        <v>9</v>
      </c>
      <c r="C306" t="s">
        <v>10</v>
      </c>
      <c r="D306" t="s">
        <v>47</v>
      </c>
      <c r="E306">
        <v>5777.65</v>
      </c>
      <c r="F306">
        <v>2</v>
      </c>
      <c r="G306">
        <v>11555.3</v>
      </c>
      <c r="H306" s="1">
        <v>46188</v>
      </c>
      <c r="I306" t="s">
        <v>17</v>
      </c>
    </row>
    <row r="307" spans="1:9" x14ac:dyDescent="0.3">
      <c r="A307" t="s">
        <v>335</v>
      </c>
      <c r="B307" t="s">
        <v>14</v>
      </c>
      <c r="C307" t="s">
        <v>15</v>
      </c>
      <c r="D307" t="s">
        <v>33</v>
      </c>
      <c r="E307">
        <v>1233.07</v>
      </c>
      <c r="F307">
        <v>2</v>
      </c>
      <c r="G307">
        <v>2466.14</v>
      </c>
      <c r="H307" s="1">
        <v>46069</v>
      </c>
      <c r="I307" t="s">
        <v>17</v>
      </c>
    </row>
    <row r="308" spans="1:9" x14ac:dyDescent="0.3">
      <c r="A308" t="s">
        <v>336</v>
      </c>
      <c r="B308" t="s">
        <v>38</v>
      </c>
      <c r="C308" t="s">
        <v>39</v>
      </c>
      <c r="D308" t="s">
        <v>26</v>
      </c>
      <c r="E308">
        <v>4032.39</v>
      </c>
      <c r="F308">
        <v>2</v>
      </c>
      <c r="G308">
        <v>8064.78</v>
      </c>
      <c r="H308" s="1">
        <v>46271</v>
      </c>
      <c r="I308" t="s">
        <v>22</v>
      </c>
    </row>
    <row r="309" spans="1:9" x14ac:dyDescent="0.3">
      <c r="A309" t="s">
        <v>337</v>
      </c>
      <c r="B309" t="s">
        <v>20</v>
      </c>
      <c r="C309" t="s">
        <v>21</v>
      </c>
      <c r="D309" t="s">
        <v>26</v>
      </c>
      <c r="E309">
        <v>2249.58</v>
      </c>
      <c r="F309">
        <v>2</v>
      </c>
      <c r="G309">
        <v>4499.16</v>
      </c>
      <c r="H309" s="1">
        <v>46068</v>
      </c>
      <c r="I309" t="s">
        <v>17</v>
      </c>
    </row>
    <row r="310" spans="1:9" x14ac:dyDescent="0.3">
      <c r="A310" t="s">
        <v>338</v>
      </c>
      <c r="B310" t="s">
        <v>38</v>
      </c>
      <c r="C310" t="s">
        <v>39</v>
      </c>
      <c r="D310" t="s">
        <v>11</v>
      </c>
      <c r="E310">
        <v>45291.72</v>
      </c>
      <c r="F310">
        <v>3</v>
      </c>
      <c r="G310">
        <v>135875.16</v>
      </c>
      <c r="H310" s="1">
        <v>46265</v>
      </c>
      <c r="I310" t="s">
        <v>22</v>
      </c>
    </row>
    <row r="311" spans="1:9" x14ac:dyDescent="0.3">
      <c r="A311" t="s">
        <v>339</v>
      </c>
      <c r="B311" t="s">
        <v>24</v>
      </c>
      <c r="C311" t="s">
        <v>25</v>
      </c>
      <c r="D311" t="s">
        <v>33</v>
      </c>
      <c r="E311">
        <v>1709.82</v>
      </c>
      <c r="F311">
        <v>3</v>
      </c>
      <c r="G311">
        <v>5129.46</v>
      </c>
      <c r="H311" s="1">
        <v>46175</v>
      </c>
      <c r="I311" t="s">
        <v>12</v>
      </c>
    </row>
    <row r="312" spans="1:9" x14ac:dyDescent="0.3">
      <c r="A312" t="s">
        <v>340</v>
      </c>
      <c r="B312" t="s">
        <v>14</v>
      </c>
      <c r="C312" t="s">
        <v>15</v>
      </c>
      <c r="D312" t="s">
        <v>31</v>
      </c>
      <c r="E312">
        <v>4670.2700000000004</v>
      </c>
      <c r="F312">
        <v>1</v>
      </c>
      <c r="G312">
        <v>4670.2700000000004</v>
      </c>
      <c r="H312" s="1">
        <v>46311</v>
      </c>
      <c r="I312" t="s">
        <v>12</v>
      </c>
    </row>
    <row r="313" spans="1:9" x14ac:dyDescent="0.3">
      <c r="A313" t="s">
        <v>341</v>
      </c>
      <c r="B313" t="s">
        <v>14</v>
      </c>
      <c r="C313" t="s">
        <v>15</v>
      </c>
      <c r="D313" t="s">
        <v>33</v>
      </c>
      <c r="E313">
        <v>18757.060000000001</v>
      </c>
      <c r="F313">
        <v>1</v>
      </c>
      <c r="G313">
        <v>18757.060000000001</v>
      </c>
      <c r="H313" s="1">
        <v>46340</v>
      </c>
      <c r="I313" t="s">
        <v>27</v>
      </c>
    </row>
    <row r="314" spans="1:9" x14ac:dyDescent="0.3">
      <c r="A314" t="s">
        <v>342</v>
      </c>
      <c r="B314" t="s">
        <v>38</v>
      </c>
      <c r="C314" t="s">
        <v>39</v>
      </c>
      <c r="D314" t="s">
        <v>16</v>
      </c>
      <c r="E314">
        <v>6688.83</v>
      </c>
      <c r="F314">
        <v>3</v>
      </c>
      <c r="G314">
        <v>20066.490000000002</v>
      </c>
      <c r="H314" s="1">
        <v>46171</v>
      </c>
      <c r="I314" t="s">
        <v>17</v>
      </c>
    </row>
    <row r="315" spans="1:9" x14ac:dyDescent="0.3">
      <c r="A315" t="s">
        <v>343</v>
      </c>
      <c r="B315" t="s">
        <v>38</v>
      </c>
      <c r="C315" t="s">
        <v>39</v>
      </c>
      <c r="D315" t="s">
        <v>11</v>
      </c>
      <c r="E315">
        <v>46554.61</v>
      </c>
      <c r="F315">
        <v>3</v>
      </c>
      <c r="G315">
        <v>139663.82999999999</v>
      </c>
      <c r="H315" s="1">
        <v>46344</v>
      </c>
      <c r="I315" t="s">
        <v>27</v>
      </c>
    </row>
    <row r="316" spans="1:9" x14ac:dyDescent="0.3">
      <c r="A316" t="s">
        <v>344</v>
      </c>
      <c r="B316" t="s">
        <v>38</v>
      </c>
      <c r="C316" t="s">
        <v>39</v>
      </c>
      <c r="D316" t="s">
        <v>11</v>
      </c>
      <c r="E316">
        <v>22458.560000000001</v>
      </c>
      <c r="F316">
        <v>1</v>
      </c>
      <c r="G316">
        <v>22458.560000000001</v>
      </c>
      <c r="H316" s="1">
        <v>46063</v>
      </c>
      <c r="I316" t="s">
        <v>17</v>
      </c>
    </row>
    <row r="317" spans="1:9" x14ac:dyDescent="0.3">
      <c r="A317" t="s">
        <v>345</v>
      </c>
      <c r="B317" t="s">
        <v>38</v>
      </c>
      <c r="C317" t="s">
        <v>39</v>
      </c>
      <c r="D317" t="s">
        <v>26</v>
      </c>
      <c r="E317">
        <v>4134.6499999999996</v>
      </c>
      <c r="F317">
        <v>1</v>
      </c>
      <c r="G317">
        <v>4134.6499999999996</v>
      </c>
      <c r="H317" s="1">
        <v>46062</v>
      </c>
      <c r="I317" t="s">
        <v>27</v>
      </c>
    </row>
    <row r="318" spans="1:9" x14ac:dyDescent="0.3">
      <c r="A318" t="s">
        <v>346</v>
      </c>
      <c r="B318" t="s">
        <v>38</v>
      </c>
      <c r="C318" t="s">
        <v>39</v>
      </c>
      <c r="D318" t="s">
        <v>16</v>
      </c>
      <c r="E318">
        <v>8928.2900000000009</v>
      </c>
      <c r="F318">
        <v>4</v>
      </c>
      <c r="G318">
        <v>35713.160000000003</v>
      </c>
      <c r="H318" s="1">
        <v>46385</v>
      </c>
      <c r="I318" t="s">
        <v>27</v>
      </c>
    </row>
    <row r="319" spans="1:9" x14ac:dyDescent="0.3">
      <c r="A319" t="s">
        <v>347</v>
      </c>
      <c r="B319" t="s">
        <v>20</v>
      </c>
      <c r="C319" t="s">
        <v>21</v>
      </c>
      <c r="D319" t="s">
        <v>11</v>
      </c>
      <c r="E319">
        <v>8352.52</v>
      </c>
      <c r="F319">
        <v>2</v>
      </c>
      <c r="G319">
        <v>16705.04</v>
      </c>
      <c r="H319" s="1">
        <v>46232</v>
      </c>
      <c r="I319" t="s">
        <v>12</v>
      </c>
    </row>
    <row r="320" spans="1:9" x14ac:dyDescent="0.3">
      <c r="A320" t="s">
        <v>348</v>
      </c>
      <c r="B320" t="s">
        <v>38</v>
      </c>
      <c r="C320" t="s">
        <v>39</v>
      </c>
      <c r="D320" t="s">
        <v>47</v>
      </c>
      <c r="E320">
        <v>775.91</v>
      </c>
      <c r="F320">
        <v>2</v>
      </c>
      <c r="G320">
        <v>1551.82</v>
      </c>
      <c r="H320" s="1">
        <v>46187</v>
      </c>
      <c r="I320" t="s">
        <v>17</v>
      </c>
    </row>
    <row r="321" spans="1:9" x14ac:dyDescent="0.3">
      <c r="A321" t="s">
        <v>349</v>
      </c>
      <c r="B321" t="s">
        <v>29</v>
      </c>
      <c r="C321" t="s">
        <v>30</v>
      </c>
      <c r="D321" t="s">
        <v>47</v>
      </c>
      <c r="E321">
        <v>2558.66</v>
      </c>
      <c r="F321">
        <v>2</v>
      </c>
      <c r="G321">
        <v>5117.32</v>
      </c>
      <c r="H321" s="1">
        <v>46079</v>
      </c>
      <c r="I321" t="s">
        <v>12</v>
      </c>
    </row>
    <row r="322" spans="1:9" x14ac:dyDescent="0.3">
      <c r="A322" t="s">
        <v>350</v>
      </c>
      <c r="B322" t="s">
        <v>29</v>
      </c>
      <c r="C322" t="s">
        <v>30</v>
      </c>
      <c r="D322" t="s">
        <v>16</v>
      </c>
      <c r="E322">
        <v>445.85</v>
      </c>
      <c r="F322">
        <v>4</v>
      </c>
      <c r="G322">
        <v>1783.4</v>
      </c>
      <c r="H322" s="1">
        <v>46128</v>
      </c>
      <c r="I322" t="s">
        <v>27</v>
      </c>
    </row>
    <row r="323" spans="1:9" x14ac:dyDescent="0.3">
      <c r="A323" t="s">
        <v>351</v>
      </c>
      <c r="B323" t="s">
        <v>14</v>
      </c>
      <c r="C323" t="s">
        <v>15</v>
      </c>
      <c r="D323" t="s">
        <v>16</v>
      </c>
      <c r="E323">
        <v>5378.22</v>
      </c>
      <c r="F323">
        <v>3</v>
      </c>
      <c r="G323">
        <v>16134.66</v>
      </c>
      <c r="H323" s="1">
        <v>46273</v>
      </c>
      <c r="I323" t="s">
        <v>27</v>
      </c>
    </row>
    <row r="324" spans="1:9" x14ac:dyDescent="0.3">
      <c r="A324" t="s">
        <v>352</v>
      </c>
      <c r="B324" t="s">
        <v>38</v>
      </c>
      <c r="C324" t="s">
        <v>39</v>
      </c>
      <c r="D324" t="s">
        <v>11</v>
      </c>
      <c r="E324">
        <v>53309.919999999998</v>
      </c>
      <c r="F324">
        <v>2</v>
      </c>
      <c r="G324">
        <v>106619.84</v>
      </c>
      <c r="H324" s="1">
        <v>46322</v>
      </c>
      <c r="I324" t="s">
        <v>17</v>
      </c>
    </row>
    <row r="325" spans="1:9" x14ac:dyDescent="0.3">
      <c r="A325" t="s">
        <v>353</v>
      </c>
      <c r="B325" t="s">
        <v>14</v>
      </c>
      <c r="C325" t="s">
        <v>15</v>
      </c>
      <c r="D325" t="s">
        <v>47</v>
      </c>
      <c r="E325">
        <v>6430.66</v>
      </c>
      <c r="F325">
        <v>2</v>
      </c>
      <c r="G325">
        <v>12861.32</v>
      </c>
      <c r="H325" s="1">
        <v>46357</v>
      </c>
      <c r="I325" t="s">
        <v>27</v>
      </c>
    </row>
    <row r="326" spans="1:9" x14ac:dyDescent="0.3">
      <c r="A326" t="s">
        <v>354</v>
      </c>
      <c r="B326" t="s">
        <v>9</v>
      </c>
      <c r="C326" t="s">
        <v>10</v>
      </c>
      <c r="D326" t="s">
        <v>31</v>
      </c>
      <c r="E326">
        <v>3041.32</v>
      </c>
      <c r="F326">
        <v>6</v>
      </c>
      <c r="G326">
        <v>18247.919999999998</v>
      </c>
      <c r="H326" s="1">
        <v>46171</v>
      </c>
      <c r="I326" t="s">
        <v>27</v>
      </c>
    </row>
    <row r="327" spans="1:9" x14ac:dyDescent="0.3">
      <c r="A327" t="s">
        <v>355</v>
      </c>
      <c r="B327" t="s">
        <v>20</v>
      </c>
      <c r="C327" t="s">
        <v>21</v>
      </c>
      <c r="D327" t="s">
        <v>33</v>
      </c>
      <c r="E327">
        <v>16983.419999999998</v>
      </c>
      <c r="F327">
        <v>4</v>
      </c>
      <c r="G327">
        <v>67933.679999999993</v>
      </c>
      <c r="H327" s="1">
        <v>46188</v>
      </c>
      <c r="I327" t="s">
        <v>12</v>
      </c>
    </row>
    <row r="328" spans="1:9" x14ac:dyDescent="0.3">
      <c r="A328" t="s">
        <v>356</v>
      </c>
      <c r="B328" t="s">
        <v>9</v>
      </c>
      <c r="C328" t="s">
        <v>10</v>
      </c>
      <c r="D328" t="s">
        <v>31</v>
      </c>
      <c r="E328">
        <v>2062.19</v>
      </c>
      <c r="F328">
        <v>4</v>
      </c>
      <c r="G328">
        <v>8248.76</v>
      </c>
      <c r="H328" s="1">
        <v>46082</v>
      </c>
      <c r="I328" t="s">
        <v>27</v>
      </c>
    </row>
    <row r="329" spans="1:9" x14ac:dyDescent="0.3">
      <c r="A329" t="s">
        <v>357</v>
      </c>
      <c r="B329" t="s">
        <v>14</v>
      </c>
      <c r="C329" t="s">
        <v>15</v>
      </c>
      <c r="D329" t="s">
        <v>16</v>
      </c>
      <c r="E329">
        <v>10230.629999999999</v>
      </c>
      <c r="F329">
        <v>2</v>
      </c>
      <c r="G329">
        <v>20461.259999999998</v>
      </c>
      <c r="H329" s="1">
        <v>46053</v>
      </c>
      <c r="I329" t="s">
        <v>27</v>
      </c>
    </row>
    <row r="330" spans="1:9" x14ac:dyDescent="0.3">
      <c r="A330" t="s">
        <v>358</v>
      </c>
      <c r="B330" t="s">
        <v>20</v>
      </c>
      <c r="C330" t="s">
        <v>21</v>
      </c>
      <c r="D330" t="s">
        <v>31</v>
      </c>
      <c r="E330">
        <v>2557.04</v>
      </c>
      <c r="F330">
        <v>2</v>
      </c>
      <c r="G330">
        <v>5114.08</v>
      </c>
      <c r="H330" s="1">
        <v>46182</v>
      </c>
      <c r="I330" t="s">
        <v>22</v>
      </c>
    </row>
    <row r="331" spans="1:9" x14ac:dyDescent="0.3">
      <c r="A331" t="s">
        <v>359</v>
      </c>
      <c r="B331" t="s">
        <v>38</v>
      </c>
      <c r="C331" t="s">
        <v>39</v>
      </c>
      <c r="D331" t="s">
        <v>11</v>
      </c>
      <c r="E331">
        <v>17349.28</v>
      </c>
      <c r="F331">
        <v>2</v>
      </c>
      <c r="G331">
        <v>34698.559999999998</v>
      </c>
      <c r="H331" s="1">
        <v>46234</v>
      </c>
      <c r="I331" t="s">
        <v>17</v>
      </c>
    </row>
    <row r="332" spans="1:9" x14ac:dyDescent="0.3">
      <c r="A332" t="s">
        <v>360</v>
      </c>
      <c r="B332" t="s">
        <v>9</v>
      </c>
      <c r="C332" t="s">
        <v>10</v>
      </c>
      <c r="D332" t="s">
        <v>47</v>
      </c>
      <c r="E332">
        <v>7558.75</v>
      </c>
      <c r="F332">
        <v>1</v>
      </c>
      <c r="G332">
        <v>7558.75</v>
      </c>
      <c r="H332" s="1">
        <v>46061</v>
      </c>
      <c r="I332" t="s">
        <v>22</v>
      </c>
    </row>
    <row r="333" spans="1:9" x14ac:dyDescent="0.3">
      <c r="A333" t="s">
        <v>361</v>
      </c>
      <c r="B333" t="s">
        <v>24</v>
      </c>
      <c r="C333" t="s">
        <v>25</v>
      </c>
      <c r="D333" t="s">
        <v>16</v>
      </c>
      <c r="E333">
        <v>3517.16</v>
      </c>
      <c r="F333">
        <v>2</v>
      </c>
      <c r="G333">
        <v>7034.32</v>
      </c>
      <c r="H333" s="1">
        <v>46172</v>
      </c>
      <c r="I333" t="s">
        <v>17</v>
      </c>
    </row>
    <row r="334" spans="1:9" x14ac:dyDescent="0.3">
      <c r="A334" t="s">
        <v>362</v>
      </c>
      <c r="B334" t="s">
        <v>20</v>
      </c>
      <c r="C334" t="s">
        <v>21</v>
      </c>
      <c r="D334" t="s">
        <v>16</v>
      </c>
      <c r="E334">
        <v>606.55999999999995</v>
      </c>
      <c r="F334">
        <v>4</v>
      </c>
      <c r="G334">
        <v>2426.2399999999998</v>
      </c>
      <c r="H334" s="1">
        <v>46257</v>
      </c>
      <c r="I334" t="s">
        <v>12</v>
      </c>
    </row>
    <row r="335" spans="1:9" x14ac:dyDescent="0.3">
      <c r="A335" t="s">
        <v>363</v>
      </c>
      <c r="B335" t="s">
        <v>9</v>
      </c>
      <c r="C335" t="s">
        <v>10</v>
      </c>
      <c r="D335" t="s">
        <v>33</v>
      </c>
      <c r="E335">
        <v>5080.68</v>
      </c>
      <c r="F335">
        <v>1</v>
      </c>
      <c r="G335">
        <v>5080.68</v>
      </c>
      <c r="H335" s="1">
        <v>46318</v>
      </c>
      <c r="I335" t="s">
        <v>27</v>
      </c>
    </row>
    <row r="336" spans="1:9" x14ac:dyDescent="0.3">
      <c r="A336" t="s">
        <v>364</v>
      </c>
      <c r="B336" t="s">
        <v>24</v>
      </c>
      <c r="C336" t="s">
        <v>25</v>
      </c>
      <c r="D336" t="s">
        <v>33</v>
      </c>
      <c r="E336">
        <v>7523.74</v>
      </c>
      <c r="F336">
        <v>4</v>
      </c>
      <c r="G336">
        <v>30094.959999999999</v>
      </c>
      <c r="H336" s="1">
        <v>46365</v>
      </c>
      <c r="I336" t="s">
        <v>17</v>
      </c>
    </row>
    <row r="337" spans="1:9" x14ac:dyDescent="0.3">
      <c r="A337" t="s">
        <v>365</v>
      </c>
      <c r="B337" t="s">
        <v>20</v>
      </c>
      <c r="C337" t="s">
        <v>21</v>
      </c>
      <c r="D337" t="s">
        <v>47</v>
      </c>
      <c r="E337">
        <v>2875.66</v>
      </c>
      <c r="F337">
        <v>3</v>
      </c>
      <c r="G337">
        <v>8626.98</v>
      </c>
      <c r="H337" s="1">
        <v>46147</v>
      </c>
      <c r="I337" t="s">
        <v>22</v>
      </c>
    </row>
    <row r="338" spans="1:9" x14ac:dyDescent="0.3">
      <c r="A338" t="s">
        <v>366</v>
      </c>
      <c r="B338" t="s">
        <v>24</v>
      </c>
      <c r="C338" t="s">
        <v>25</v>
      </c>
      <c r="D338" t="s">
        <v>11</v>
      </c>
      <c r="E338">
        <v>39730.33</v>
      </c>
      <c r="F338">
        <v>2</v>
      </c>
      <c r="G338">
        <v>79460.66</v>
      </c>
      <c r="H338" s="1">
        <v>46165</v>
      </c>
      <c r="I338" t="s">
        <v>12</v>
      </c>
    </row>
    <row r="339" spans="1:9" x14ac:dyDescent="0.3">
      <c r="A339" t="s">
        <v>367</v>
      </c>
      <c r="B339" t="s">
        <v>20</v>
      </c>
      <c r="C339" t="s">
        <v>21</v>
      </c>
      <c r="D339" t="s">
        <v>26</v>
      </c>
      <c r="E339">
        <v>44273.22</v>
      </c>
      <c r="F339">
        <v>2</v>
      </c>
      <c r="G339">
        <v>88546.44</v>
      </c>
      <c r="H339" s="1">
        <v>46342</v>
      </c>
      <c r="I339" t="s">
        <v>17</v>
      </c>
    </row>
    <row r="340" spans="1:9" x14ac:dyDescent="0.3">
      <c r="A340" t="s">
        <v>368</v>
      </c>
      <c r="B340" t="s">
        <v>24</v>
      </c>
      <c r="C340" t="s">
        <v>25</v>
      </c>
      <c r="D340" t="s">
        <v>33</v>
      </c>
      <c r="E340">
        <v>6059.06</v>
      </c>
      <c r="F340">
        <v>3</v>
      </c>
      <c r="G340">
        <v>18177.18</v>
      </c>
      <c r="H340" s="1">
        <v>46276</v>
      </c>
      <c r="I340" t="s">
        <v>22</v>
      </c>
    </row>
    <row r="341" spans="1:9" x14ac:dyDescent="0.3">
      <c r="A341" t="s">
        <v>369</v>
      </c>
      <c r="B341" t="s">
        <v>29</v>
      </c>
      <c r="C341" t="s">
        <v>30</v>
      </c>
      <c r="D341" t="s">
        <v>31</v>
      </c>
      <c r="E341">
        <v>2627.81</v>
      </c>
      <c r="F341">
        <v>5</v>
      </c>
      <c r="G341">
        <v>13139.05</v>
      </c>
      <c r="H341" s="1">
        <v>46122</v>
      </c>
      <c r="I341" t="s">
        <v>27</v>
      </c>
    </row>
    <row r="342" spans="1:9" x14ac:dyDescent="0.3">
      <c r="A342" t="s">
        <v>370</v>
      </c>
      <c r="B342" t="s">
        <v>24</v>
      </c>
      <c r="C342" t="s">
        <v>25</v>
      </c>
      <c r="D342" t="s">
        <v>11</v>
      </c>
      <c r="E342">
        <v>26038.31</v>
      </c>
      <c r="F342">
        <v>3</v>
      </c>
      <c r="G342">
        <v>78114.929999999993</v>
      </c>
      <c r="H342" s="1">
        <v>46273</v>
      </c>
      <c r="I342" t="s">
        <v>27</v>
      </c>
    </row>
    <row r="343" spans="1:9" x14ac:dyDescent="0.3">
      <c r="A343" t="s">
        <v>371</v>
      </c>
      <c r="B343" t="s">
        <v>29</v>
      </c>
      <c r="C343" t="s">
        <v>30</v>
      </c>
      <c r="D343" t="s">
        <v>47</v>
      </c>
      <c r="E343">
        <v>6592.01</v>
      </c>
      <c r="F343">
        <v>5</v>
      </c>
      <c r="G343">
        <v>32960.050000000003</v>
      </c>
      <c r="H343" s="1">
        <v>46080</v>
      </c>
      <c r="I343" t="s">
        <v>27</v>
      </c>
    </row>
    <row r="344" spans="1:9" x14ac:dyDescent="0.3">
      <c r="A344" t="s">
        <v>372</v>
      </c>
      <c r="B344" t="s">
        <v>9</v>
      </c>
      <c r="C344" t="s">
        <v>10</v>
      </c>
      <c r="D344" t="s">
        <v>16</v>
      </c>
      <c r="E344">
        <v>2143.94</v>
      </c>
      <c r="F344">
        <v>2</v>
      </c>
      <c r="G344">
        <v>4287.88</v>
      </c>
      <c r="H344" s="1">
        <v>46186</v>
      </c>
      <c r="I344" t="s">
        <v>12</v>
      </c>
    </row>
    <row r="345" spans="1:9" x14ac:dyDescent="0.3">
      <c r="A345" t="s">
        <v>373</v>
      </c>
      <c r="B345" t="s">
        <v>20</v>
      </c>
      <c r="C345" t="s">
        <v>21</v>
      </c>
      <c r="D345" t="s">
        <v>16</v>
      </c>
      <c r="E345">
        <v>1511.07</v>
      </c>
      <c r="F345">
        <v>4</v>
      </c>
      <c r="G345">
        <v>6044.28</v>
      </c>
      <c r="H345" s="1">
        <v>46134</v>
      </c>
      <c r="I345" t="s">
        <v>27</v>
      </c>
    </row>
    <row r="346" spans="1:9" x14ac:dyDescent="0.3">
      <c r="A346" t="s">
        <v>374</v>
      </c>
      <c r="B346" t="s">
        <v>9</v>
      </c>
      <c r="C346" t="s">
        <v>10</v>
      </c>
      <c r="D346" t="s">
        <v>33</v>
      </c>
      <c r="E346">
        <v>10209.01</v>
      </c>
      <c r="F346">
        <v>2</v>
      </c>
      <c r="G346">
        <v>20418.02</v>
      </c>
      <c r="H346" s="1">
        <v>46385</v>
      </c>
      <c r="I346" t="s">
        <v>12</v>
      </c>
    </row>
    <row r="347" spans="1:9" x14ac:dyDescent="0.3">
      <c r="A347" t="s">
        <v>375</v>
      </c>
      <c r="B347" t="s">
        <v>9</v>
      </c>
      <c r="C347" t="s">
        <v>10</v>
      </c>
      <c r="D347" t="s">
        <v>26</v>
      </c>
      <c r="E347">
        <v>33922.49</v>
      </c>
      <c r="F347">
        <v>3</v>
      </c>
      <c r="G347">
        <v>101767.47</v>
      </c>
      <c r="H347" s="1">
        <v>46035</v>
      </c>
      <c r="I347" t="s">
        <v>27</v>
      </c>
    </row>
    <row r="348" spans="1:9" x14ac:dyDescent="0.3">
      <c r="A348" t="s">
        <v>376</v>
      </c>
      <c r="B348" t="s">
        <v>29</v>
      </c>
      <c r="C348" t="s">
        <v>30</v>
      </c>
      <c r="D348" t="s">
        <v>16</v>
      </c>
      <c r="E348">
        <v>9607.64</v>
      </c>
      <c r="F348">
        <v>2</v>
      </c>
      <c r="G348">
        <v>19215.28</v>
      </c>
      <c r="H348" s="1">
        <v>46335</v>
      </c>
      <c r="I348" t="s">
        <v>12</v>
      </c>
    </row>
    <row r="349" spans="1:9" x14ac:dyDescent="0.3">
      <c r="A349" t="s">
        <v>377</v>
      </c>
      <c r="B349" t="s">
        <v>38</v>
      </c>
      <c r="C349" t="s">
        <v>39</v>
      </c>
      <c r="D349" t="s">
        <v>31</v>
      </c>
      <c r="E349">
        <v>2968.64</v>
      </c>
      <c r="F349">
        <v>3</v>
      </c>
      <c r="G349">
        <v>8905.92</v>
      </c>
      <c r="H349" s="1">
        <v>46125</v>
      </c>
      <c r="I349" t="s">
        <v>12</v>
      </c>
    </row>
    <row r="350" spans="1:9" x14ac:dyDescent="0.3">
      <c r="A350" t="s">
        <v>378</v>
      </c>
      <c r="B350" t="s">
        <v>20</v>
      </c>
      <c r="C350" t="s">
        <v>21</v>
      </c>
      <c r="D350" t="s">
        <v>31</v>
      </c>
      <c r="E350">
        <v>3880.56</v>
      </c>
      <c r="F350">
        <v>8</v>
      </c>
      <c r="G350">
        <v>31044.48</v>
      </c>
      <c r="H350" s="1">
        <v>46036</v>
      </c>
      <c r="I350" t="s">
        <v>27</v>
      </c>
    </row>
    <row r="351" spans="1:9" x14ac:dyDescent="0.3">
      <c r="A351" t="s">
        <v>379</v>
      </c>
      <c r="B351" t="s">
        <v>24</v>
      </c>
      <c r="C351" t="s">
        <v>25</v>
      </c>
      <c r="D351" t="s">
        <v>11</v>
      </c>
      <c r="E351">
        <v>29939.09</v>
      </c>
      <c r="F351">
        <v>3</v>
      </c>
      <c r="G351">
        <v>89817.27</v>
      </c>
      <c r="H351" s="1">
        <v>46263</v>
      </c>
      <c r="I351" t="s">
        <v>27</v>
      </c>
    </row>
    <row r="352" spans="1:9" x14ac:dyDescent="0.3">
      <c r="A352" t="s">
        <v>380</v>
      </c>
      <c r="B352" t="s">
        <v>20</v>
      </c>
      <c r="C352" t="s">
        <v>21</v>
      </c>
      <c r="D352" t="s">
        <v>47</v>
      </c>
      <c r="E352">
        <v>359.65</v>
      </c>
      <c r="F352">
        <v>1</v>
      </c>
      <c r="G352">
        <v>359.65</v>
      </c>
      <c r="H352" s="1">
        <v>46270</v>
      </c>
      <c r="I352" t="s">
        <v>27</v>
      </c>
    </row>
    <row r="353" spans="1:9" x14ac:dyDescent="0.3">
      <c r="A353" t="s">
        <v>381</v>
      </c>
      <c r="B353" t="s">
        <v>24</v>
      </c>
      <c r="C353" t="s">
        <v>25</v>
      </c>
      <c r="D353" t="s">
        <v>47</v>
      </c>
      <c r="E353">
        <v>1017.18</v>
      </c>
      <c r="F353">
        <v>3</v>
      </c>
      <c r="G353">
        <v>3051.54</v>
      </c>
      <c r="H353" s="1">
        <v>46074</v>
      </c>
      <c r="I353" t="s">
        <v>12</v>
      </c>
    </row>
    <row r="354" spans="1:9" x14ac:dyDescent="0.3">
      <c r="A354" t="s">
        <v>382</v>
      </c>
      <c r="B354" t="s">
        <v>14</v>
      </c>
      <c r="C354" t="s">
        <v>15</v>
      </c>
      <c r="D354" t="s">
        <v>31</v>
      </c>
      <c r="E354">
        <v>241.68</v>
      </c>
      <c r="F354">
        <v>4</v>
      </c>
      <c r="G354">
        <v>966.72</v>
      </c>
      <c r="H354" s="1">
        <v>46036</v>
      </c>
      <c r="I354" t="s">
        <v>27</v>
      </c>
    </row>
    <row r="355" spans="1:9" x14ac:dyDescent="0.3">
      <c r="A355" t="s">
        <v>383</v>
      </c>
      <c r="B355" t="s">
        <v>20</v>
      </c>
      <c r="C355" t="s">
        <v>21</v>
      </c>
      <c r="D355" t="s">
        <v>31</v>
      </c>
      <c r="E355">
        <v>1678.27</v>
      </c>
      <c r="F355">
        <v>7</v>
      </c>
      <c r="G355">
        <v>11747.89</v>
      </c>
      <c r="H355" s="1">
        <v>46063</v>
      </c>
      <c r="I355" t="s">
        <v>22</v>
      </c>
    </row>
    <row r="356" spans="1:9" x14ac:dyDescent="0.3">
      <c r="A356" t="s">
        <v>384</v>
      </c>
      <c r="B356" t="s">
        <v>14</v>
      </c>
      <c r="C356" t="s">
        <v>15</v>
      </c>
      <c r="D356" t="s">
        <v>33</v>
      </c>
      <c r="E356">
        <v>10061.18</v>
      </c>
      <c r="F356">
        <v>3</v>
      </c>
      <c r="G356">
        <v>30183.54</v>
      </c>
      <c r="H356" s="1">
        <v>46172</v>
      </c>
      <c r="I356" t="s">
        <v>17</v>
      </c>
    </row>
    <row r="357" spans="1:9" x14ac:dyDescent="0.3">
      <c r="A357" t="s">
        <v>385</v>
      </c>
      <c r="B357" t="s">
        <v>14</v>
      </c>
      <c r="C357" t="s">
        <v>15</v>
      </c>
      <c r="D357" t="s">
        <v>11</v>
      </c>
      <c r="E357">
        <v>27238.76</v>
      </c>
      <c r="F357">
        <v>3</v>
      </c>
      <c r="G357">
        <v>81716.28</v>
      </c>
      <c r="H357" s="1">
        <v>46071</v>
      </c>
      <c r="I357" t="s">
        <v>12</v>
      </c>
    </row>
    <row r="358" spans="1:9" x14ac:dyDescent="0.3">
      <c r="A358" t="s">
        <v>386</v>
      </c>
      <c r="B358" t="s">
        <v>9</v>
      </c>
      <c r="C358" t="s">
        <v>10</v>
      </c>
      <c r="D358" t="s">
        <v>16</v>
      </c>
      <c r="E358">
        <v>6859.01</v>
      </c>
      <c r="F358">
        <v>5</v>
      </c>
      <c r="G358">
        <v>34295.050000000003</v>
      </c>
      <c r="H358" s="1">
        <v>46279</v>
      </c>
      <c r="I358" t="s">
        <v>17</v>
      </c>
    </row>
    <row r="359" spans="1:9" x14ac:dyDescent="0.3">
      <c r="A359" t="s">
        <v>387</v>
      </c>
      <c r="B359" t="s">
        <v>9</v>
      </c>
      <c r="C359" t="s">
        <v>10</v>
      </c>
      <c r="D359" t="s">
        <v>16</v>
      </c>
      <c r="E359">
        <v>5923.13</v>
      </c>
      <c r="F359">
        <v>4</v>
      </c>
      <c r="G359">
        <v>23692.52</v>
      </c>
      <c r="H359" s="1">
        <v>46051</v>
      </c>
      <c r="I359" t="s">
        <v>17</v>
      </c>
    </row>
    <row r="360" spans="1:9" x14ac:dyDescent="0.3">
      <c r="A360" t="s">
        <v>388</v>
      </c>
      <c r="B360" t="s">
        <v>14</v>
      </c>
      <c r="C360" t="s">
        <v>15</v>
      </c>
      <c r="D360" t="s">
        <v>26</v>
      </c>
      <c r="E360">
        <v>34219.199999999997</v>
      </c>
      <c r="F360">
        <v>3</v>
      </c>
      <c r="G360">
        <v>102657.60000000001</v>
      </c>
      <c r="H360" s="1">
        <v>46310</v>
      </c>
      <c r="I360" t="s">
        <v>12</v>
      </c>
    </row>
    <row r="361" spans="1:9" x14ac:dyDescent="0.3">
      <c r="A361" t="s">
        <v>389</v>
      </c>
      <c r="B361" t="s">
        <v>20</v>
      </c>
      <c r="C361" t="s">
        <v>21</v>
      </c>
      <c r="D361" t="s">
        <v>11</v>
      </c>
      <c r="E361">
        <v>50288.59</v>
      </c>
      <c r="F361">
        <v>3</v>
      </c>
      <c r="G361">
        <v>150865.76999999999</v>
      </c>
      <c r="H361" s="1">
        <v>46342</v>
      </c>
      <c r="I361" t="s">
        <v>27</v>
      </c>
    </row>
    <row r="362" spans="1:9" x14ac:dyDescent="0.3">
      <c r="A362" t="s">
        <v>390</v>
      </c>
      <c r="B362" t="s">
        <v>29</v>
      </c>
      <c r="C362" t="s">
        <v>30</v>
      </c>
      <c r="D362" t="s">
        <v>26</v>
      </c>
      <c r="E362">
        <v>16585.14</v>
      </c>
      <c r="F362">
        <v>1</v>
      </c>
      <c r="G362">
        <v>16585.14</v>
      </c>
      <c r="H362" s="1">
        <v>46284</v>
      </c>
      <c r="I362" t="s">
        <v>12</v>
      </c>
    </row>
    <row r="363" spans="1:9" x14ac:dyDescent="0.3">
      <c r="A363" t="s">
        <v>391</v>
      </c>
      <c r="B363" t="s">
        <v>24</v>
      </c>
      <c r="C363" t="s">
        <v>25</v>
      </c>
      <c r="D363" t="s">
        <v>31</v>
      </c>
      <c r="E363">
        <v>1763.76</v>
      </c>
      <c r="F363">
        <v>8</v>
      </c>
      <c r="G363">
        <v>14110.08</v>
      </c>
      <c r="H363" s="1">
        <v>46367</v>
      </c>
      <c r="I363" t="s">
        <v>27</v>
      </c>
    </row>
    <row r="364" spans="1:9" x14ac:dyDescent="0.3">
      <c r="A364" t="s">
        <v>392</v>
      </c>
      <c r="B364" t="s">
        <v>24</v>
      </c>
      <c r="C364" t="s">
        <v>25</v>
      </c>
      <c r="D364" t="s">
        <v>26</v>
      </c>
      <c r="E364">
        <v>29672.240000000002</v>
      </c>
      <c r="F364">
        <v>3</v>
      </c>
      <c r="G364">
        <v>89016.72</v>
      </c>
      <c r="H364" s="1">
        <v>46365</v>
      </c>
      <c r="I364" t="s">
        <v>17</v>
      </c>
    </row>
    <row r="365" spans="1:9" x14ac:dyDescent="0.3">
      <c r="A365" t="s">
        <v>393</v>
      </c>
      <c r="B365" t="s">
        <v>24</v>
      </c>
      <c r="C365" t="s">
        <v>25</v>
      </c>
      <c r="D365" t="s">
        <v>11</v>
      </c>
      <c r="E365">
        <v>45055.29</v>
      </c>
      <c r="F365">
        <v>1</v>
      </c>
      <c r="G365">
        <v>45055.29</v>
      </c>
      <c r="H365" s="1">
        <v>46039</v>
      </c>
      <c r="I365" t="s">
        <v>12</v>
      </c>
    </row>
    <row r="366" spans="1:9" x14ac:dyDescent="0.3">
      <c r="A366" t="s">
        <v>394</v>
      </c>
      <c r="B366" t="s">
        <v>20</v>
      </c>
      <c r="C366" t="s">
        <v>21</v>
      </c>
      <c r="D366" t="s">
        <v>16</v>
      </c>
      <c r="E366">
        <v>3981.99</v>
      </c>
      <c r="F366">
        <v>5</v>
      </c>
      <c r="G366">
        <v>19909.95</v>
      </c>
      <c r="H366" s="1">
        <v>46147</v>
      </c>
      <c r="I366" t="s">
        <v>22</v>
      </c>
    </row>
    <row r="367" spans="1:9" x14ac:dyDescent="0.3">
      <c r="A367" t="s">
        <v>395</v>
      </c>
      <c r="B367" t="s">
        <v>14</v>
      </c>
      <c r="C367" t="s">
        <v>15</v>
      </c>
      <c r="D367" t="s">
        <v>16</v>
      </c>
      <c r="E367">
        <v>4164.72</v>
      </c>
      <c r="F367">
        <v>4</v>
      </c>
      <c r="G367">
        <v>16658.88</v>
      </c>
      <c r="H367" s="1">
        <v>46300</v>
      </c>
      <c r="I367" t="s">
        <v>22</v>
      </c>
    </row>
    <row r="368" spans="1:9" x14ac:dyDescent="0.3">
      <c r="A368" t="s">
        <v>396</v>
      </c>
      <c r="B368" t="s">
        <v>9</v>
      </c>
      <c r="C368" t="s">
        <v>10</v>
      </c>
      <c r="D368" t="s">
        <v>11</v>
      </c>
      <c r="E368">
        <v>52298.14</v>
      </c>
      <c r="F368">
        <v>2</v>
      </c>
      <c r="G368">
        <v>104596.28</v>
      </c>
      <c r="H368" s="1">
        <v>46146</v>
      </c>
      <c r="I368" t="s">
        <v>27</v>
      </c>
    </row>
    <row r="369" spans="1:9" x14ac:dyDescent="0.3">
      <c r="A369" t="s">
        <v>397</v>
      </c>
      <c r="B369" t="s">
        <v>20</v>
      </c>
      <c r="C369" t="s">
        <v>21</v>
      </c>
      <c r="D369" t="s">
        <v>11</v>
      </c>
      <c r="E369">
        <v>48837.88</v>
      </c>
      <c r="F369">
        <v>2</v>
      </c>
      <c r="G369">
        <v>97675.76</v>
      </c>
      <c r="H369" s="1">
        <v>46292</v>
      </c>
      <c r="I369" t="s">
        <v>17</v>
      </c>
    </row>
    <row r="370" spans="1:9" x14ac:dyDescent="0.3">
      <c r="A370" t="s">
        <v>398</v>
      </c>
      <c r="B370" t="s">
        <v>38</v>
      </c>
      <c r="C370" t="s">
        <v>39</v>
      </c>
      <c r="D370" t="s">
        <v>11</v>
      </c>
      <c r="E370">
        <v>10820.77</v>
      </c>
      <c r="F370">
        <v>2</v>
      </c>
      <c r="G370">
        <v>21641.54</v>
      </c>
      <c r="H370" s="1">
        <v>46305</v>
      </c>
      <c r="I370" t="s">
        <v>17</v>
      </c>
    </row>
    <row r="371" spans="1:9" x14ac:dyDescent="0.3">
      <c r="A371" t="s">
        <v>399</v>
      </c>
      <c r="B371" t="s">
        <v>29</v>
      </c>
      <c r="C371" t="s">
        <v>30</v>
      </c>
      <c r="D371" t="s">
        <v>31</v>
      </c>
      <c r="E371">
        <v>2233.16</v>
      </c>
      <c r="F371">
        <v>10</v>
      </c>
      <c r="G371">
        <v>22331.599999999999</v>
      </c>
      <c r="H371" s="1">
        <v>46386</v>
      </c>
      <c r="I371" t="s">
        <v>22</v>
      </c>
    </row>
    <row r="372" spans="1:9" x14ac:dyDescent="0.3">
      <c r="A372" t="s">
        <v>400</v>
      </c>
      <c r="B372" t="s">
        <v>9</v>
      </c>
      <c r="C372" t="s">
        <v>10</v>
      </c>
      <c r="D372" t="s">
        <v>11</v>
      </c>
      <c r="E372">
        <v>67038.789999999994</v>
      </c>
      <c r="F372">
        <v>3</v>
      </c>
      <c r="G372">
        <v>201116.37</v>
      </c>
      <c r="H372" s="1">
        <v>46143</v>
      </c>
      <c r="I372" t="s">
        <v>17</v>
      </c>
    </row>
    <row r="373" spans="1:9" x14ac:dyDescent="0.3">
      <c r="A373" t="s">
        <v>401</v>
      </c>
      <c r="B373" t="s">
        <v>38</v>
      </c>
      <c r="C373" t="s">
        <v>39</v>
      </c>
      <c r="D373" t="s">
        <v>33</v>
      </c>
      <c r="E373">
        <v>1015.22</v>
      </c>
      <c r="F373">
        <v>4</v>
      </c>
      <c r="G373">
        <v>4060.88</v>
      </c>
      <c r="H373" s="1">
        <v>46149</v>
      </c>
      <c r="I373" t="s">
        <v>17</v>
      </c>
    </row>
    <row r="374" spans="1:9" x14ac:dyDescent="0.3">
      <c r="A374" t="s">
        <v>402</v>
      </c>
      <c r="B374" t="s">
        <v>38</v>
      </c>
      <c r="C374" t="s">
        <v>39</v>
      </c>
      <c r="D374" t="s">
        <v>31</v>
      </c>
      <c r="E374">
        <v>4283.0600000000004</v>
      </c>
      <c r="F374">
        <v>7</v>
      </c>
      <c r="G374">
        <v>29981.42</v>
      </c>
      <c r="H374" s="1">
        <v>46031</v>
      </c>
      <c r="I374" t="s">
        <v>17</v>
      </c>
    </row>
    <row r="375" spans="1:9" x14ac:dyDescent="0.3">
      <c r="A375" t="s">
        <v>403</v>
      </c>
      <c r="B375" t="s">
        <v>38</v>
      </c>
      <c r="C375" t="s">
        <v>39</v>
      </c>
      <c r="D375" t="s">
        <v>47</v>
      </c>
      <c r="E375">
        <v>1389.11</v>
      </c>
      <c r="F375">
        <v>1</v>
      </c>
      <c r="G375">
        <v>1389.11</v>
      </c>
      <c r="H375" s="1">
        <v>46127</v>
      </c>
      <c r="I375" t="s">
        <v>27</v>
      </c>
    </row>
    <row r="376" spans="1:9" x14ac:dyDescent="0.3">
      <c r="A376" t="s">
        <v>404</v>
      </c>
      <c r="B376" t="s">
        <v>24</v>
      </c>
      <c r="C376" t="s">
        <v>25</v>
      </c>
      <c r="D376" t="s">
        <v>33</v>
      </c>
      <c r="E376">
        <v>10292.799999999999</v>
      </c>
      <c r="F376">
        <v>4</v>
      </c>
      <c r="G376">
        <v>41171.199999999997</v>
      </c>
      <c r="H376" s="1">
        <v>46125</v>
      </c>
      <c r="I376" t="s">
        <v>17</v>
      </c>
    </row>
    <row r="377" spans="1:9" x14ac:dyDescent="0.3">
      <c r="A377" t="s">
        <v>405</v>
      </c>
      <c r="B377" t="s">
        <v>24</v>
      </c>
      <c r="C377" t="s">
        <v>25</v>
      </c>
      <c r="D377" t="s">
        <v>11</v>
      </c>
      <c r="E377">
        <v>32285.759999999998</v>
      </c>
      <c r="F377">
        <v>1</v>
      </c>
      <c r="G377">
        <v>32285.759999999998</v>
      </c>
      <c r="H377" s="1">
        <v>46188</v>
      </c>
      <c r="I377" t="s">
        <v>27</v>
      </c>
    </row>
    <row r="378" spans="1:9" x14ac:dyDescent="0.3">
      <c r="A378" t="s">
        <v>406</v>
      </c>
      <c r="B378" t="s">
        <v>29</v>
      </c>
      <c r="C378" t="s">
        <v>30</v>
      </c>
      <c r="D378" t="s">
        <v>26</v>
      </c>
      <c r="E378">
        <v>1496.34</v>
      </c>
      <c r="F378">
        <v>1</v>
      </c>
      <c r="G378">
        <v>1496.34</v>
      </c>
      <c r="H378" s="1">
        <v>46176</v>
      </c>
      <c r="I378" t="s">
        <v>12</v>
      </c>
    </row>
    <row r="379" spans="1:9" x14ac:dyDescent="0.3">
      <c r="A379" t="s">
        <v>407</v>
      </c>
      <c r="B379" t="s">
        <v>14</v>
      </c>
      <c r="C379" t="s">
        <v>15</v>
      </c>
      <c r="D379" t="s">
        <v>33</v>
      </c>
      <c r="E379">
        <v>18333.32</v>
      </c>
      <c r="F379">
        <v>1</v>
      </c>
      <c r="G379">
        <v>18333.32</v>
      </c>
      <c r="H379" s="1">
        <v>46335</v>
      </c>
      <c r="I379" t="s">
        <v>22</v>
      </c>
    </row>
    <row r="380" spans="1:9" x14ac:dyDescent="0.3">
      <c r="A380" t="s">
        <v>408</v>
      </c>
      <c r="B380" t="s">
        <v>38</v>
      </c>
      <c r="C380" t="s">
        <v>39</v>
      </c>
      <c r="D380" t="s">
        <v>26</v>
      </c>
      <c r="E380">
        <v>23291.34</v>
      </c>
      <c r="F380">
        <v>3</v>
      </c>
      <c r="G380">
        <v>69874.02</v>
      </c>
      <c r="H380" s="1">
        <v>46305</v>
      </c>
      <c r="I380" t="s">
        <v>27</v>
      </c>
    </row>
    <row r="381" spans="1:9" x14ac:dyDescent="0.3">
      <c r="A381" t="s">
        <v>409</v>
      </c>
      <c r="B381" t="s">
        <v>20</v>
      </c>
      <c r="C381" t="s">
        <v>21</v>
      </c>
      <c r="D381" t="s">
        <v>16</v>
      </c>
      <c r="E381">
        <v>11464.94</v>
      </c>
      <c r="F381">
        <v>3</v>
      </c>
      <c r="G381">
        <v>34394.82</v>
      </c>
      <c r="H381" s="1">
        <v>46288</v>
      </c>
      <c r="I381" t="s">
        <v>22</v>
      </c>
    </row>
    <row r="382" spans="1:9" x14ac:dyDescent="0.3">
      <c r="A382" t="s">
        <v>410</v>
      </c>
      <c r="B382" t="s">
        <v>14</v>
      </c>
      <c r="C382" t="s">
        <v>15</v>
      </c>
      <c r="D382" t="s">
        <v>16</v>
      </c>
      <c r="E382">
        <v>3654.9</v>
      </c>
      <c r="F382">
        <v>2</v>
      </c>
      <c r="G382">
        <v>7309.8</v>
      </c>
      <c r="H382" s="1">
        <v>46024</v>
      </c>
      <c r="I382" t="s">
        <v>12</v>
      </c>
    </row>
    <row r="383" spans="1:9" x14ac:dyDescent="0.3">
      <c r="A383" t="s">
        <v>411</v>
      </c>
      <c r="B383" t="s">
        <v>29</v>
      </c>
      <c r="C383" t="s">
        <v>30</v>
      </c>
      <c r="D383" t="s">
        <v>11</v>
      </c>
      <c r="E383">
        <v>65077.66</v>
      </c>
      <c r="F383">
        <v>1</v>
      </c>
      <c r="G383">
        <v>65077.66</v>
      </c>
      <c r="H383" s="1">
        <v>46195</v>
      </c>
      <c r="I383" t="s">
        <v>27</v>
      </c>
    </row>
    <row r="384" spans="1:9" x14ac:dyDescent="0.3">
      <c r="A384" t="s">
        <v>412</v>
      </c>
      <c r="B384" t="s">
        <v>9</v>
      </c>
      <c r="C384" t="s">
        <v>10</v>
      </c>
      <c r="D384" t="s">
        <v>16</v>
      </c>
      <c r="E384">
        <v>11091.96</v>
      </c>
      <c r="F384">
        <v>3</v>
      </c>
      <c r="G384">
        <v>33275.879999999997</v>
      </c>
      <c r="H384" s="1">
        <v>46289</v>
      </c>
      <c r="I384" t="s">
        <v>27</v>
      </c>
    </row>
    <row r="385" spans="1:9" x14ac:dyDescent="0.3">
      <c r="A385" t="s">
        <v>413</v>
      </c>
      <c r="B385" t="s">
        <v>14</v>
      </c>
      <c r="C385" t="s">
        <v>15</v>
      </c>
      <c r="D385" t="s">
        <v>33</v>
      </c>
      <c r="E385">
        <v>11269.6</v>
      </c>
      <c r="F385">
        <v>3</v>
      </c>
      <c r="G385">
        <v>33808.800000000003</v>
      </c>
      <c r="H385" s="1">
        <v>46112</v>
      </c>
      <c r="I385" t="s">
        <v>27</v>
      </c>
    </row>
    <row r="386" spans="1:9" x14ac:dyDescent="0.3">
      <c r="A386" t="s">
        <v>414</v>
      </c>
      <c r="B386" t="s">
        <v>38</v>
      </c>
      <c r="C386" t="s">
        <v>39</v>
      </c>
      <c r="D386" t="s">
        <v>33</v>
      </c>
      <c r="E386">
        <v>4292.75</v>
      </c>
      <c r="F386">
        <v>4</v>
      </c>
      <c r="G386">
        <v>17171</v>
      </c>
      <c r="H386" s="1">
        <v>46178</v>
      </c>
      <c r="I386" t="s">
        <v>27</v>
      </c>
    </row>
    <row r="387" spans="1:9" x14ac:dyDescent="0.3">
      <c r="A387" t="s">
        <v>415</v>
      </c>
      <c r="B387" t="s">
        <v>29</v>
      </c>
      <c r="C387" t="s">
        <v>30</v>
      </c>
      <c r="D387" t="s">
        <v>11</v>
      </c>
      <c r="E387">
        <v>51645.36</v>
      </c>
      <c r="F387">
        <v>2</v>
      </c>
      <c r="G387">
        <v>103290.72</v>
      </c>
      <c r="H387" s="1">
        <v>46288</v>
      </c>
      <c r="I387" t="s">
        <v>12</v>
      </c>
    </row>
    <row r="388" spans="1:9" x14ac:dyDescent="0.3">
      <c r="A388" t="s">
        <v>416</v>
      </c>
      <c r="B388" t="s">
        <v>20</v>
      </c>
      <c r="C388" t="s">
        <v>21</v>
      </c>
      <c r="D388" t="s">
        <v>26</v>
      </c>
      <c r="E388">
        <v>27899.93</v>
      </c>
      <c r="F388">
        <v>2</v>
      </c>
      <c r="G388">
        <v>55799.86</v>
      </c>
      <c r="H388" s="1">
        <v>46313</v>
      </c>
      <c r="I388" t="s">
        <v>12</v>
      </c>
    </row>
    <row r="389" spans="1:9" x14ac:dyDescent="0.3">
      <c r="A389" t="s">
        <v>417</v>
      </c>
      <c r="B389" t="s">
        <v>29</v>
      </c>
      <c r="C389" t="s">
        <v>30</v>
      </c>
      <c r="D389" t="s">
        <v>31</v>
      </c>
      <c r="E389">
        <v>4725.42</v>
      </c>
      <c r="F389">
        <v>9</v>
      </c>
      <c r="G389">
        <v>42528.78</v>
      </c>
      <c r="H389" s="1">
        <v>46334</v>
      </c>
      <c r="I389" t="s">
        <v>27</v>
      </c>
    </row>
    <row r="390" spans="1:9" x14ac:dyDescent="0.3">
      <c r="A390" t="s">
        <v>418</v>
      </c>
      <c r="B390" t="s">
        <v>24</v>
      </c>
      <c r="C390" t="s">
        <v>25</v>
      </c>
      <c r="D390" t="s">
        <v>33</v>
      </c>
      <c r="E390">
        <v>8953.66</v>
      </c>
      <c r="F390">
        <v>4</v>
      </c>
      <c r="G390">
        <v>35814.639999999999</v>
      </c>
      <c r="H390" s="1">
        <v>46179</v>
      </c>
      <c r="I390" t="s">
        <v>12</v>
      </c>
    </row>
    <row r="391" spans="1:9" x14ac:dyDescent="0.3">
      <c r="A391" t="s">
        <v>419</v>
      </c>
      <c r="B391" t="s">
        <v>9</v>
      </c>
      <c r="C391" t="s">
        <v>10</v>
      </c>
      <c r="D391" t="s">
        <v>11</v>
      </c>
      <c r="E391">
        <v>20723.71</v>
      </c>
      <c r="F391">
        <v>1</v>
      </c>
      <c r="G391">
        <v>20723.71</v>
      </c>
      <c r="H391" s="1">
        <v>46168</v>
      </c>
      <c r="I391" t="s">
        <v>27</v>
      </c>
    </row>
    <row r="392" spans="1:9" x14ac:dyDescent="0.3">
      <c r="A392" t="s">
        <v>420</v>
      </c>
      <c r="B392" t="s">
        <v>20</v>
      </c>
      <c r="C392" t="s">
        <v>21</v>
      </c>
      <c r="D392" t="s">
        <v>33</v>
      </c>
      <c r="E392">
        <v>3024.25</v>
      </c>
      <c r="F392">
        <v>4</v>
      </c>
      <c r="G392">
        <v>12097</v>
      </c>
      <c r="H392" s="1">
        <v>46162</v>
      </c>
      <c r="I392" t="s">
        <v>22</v>
      </c>
    </row>
    <row r="393" spans="1:9" x14ac:dyDescent="0.3">
      <c r="A393" t="s">
        <v>421</v>
      </c>
      <c r="B393" t="s">
        <v>24</v>
      </c>
      <c r="C393" t="s">
        <v>25</v>
      </c>
      <c r="D393" t="s">
        <v>47</v>
      </c>
      <c r="E393">
        <v>5619.21</v>
      </c>
      <c r="F393">
        <v>3</v>
      </c>
      <c r="G393">
        <v>16857.63</v>
      </c>
      <c r="H393" s="1">
        <v>46267</v>
      </c>
      <c r="I393" t="s">
        <v>12</v>
      </c>
    </row>
    <row r="394" spans="1:9" x14ac:dyDescent="0.3">
      <c r="A394" t="s">
        <v>422</v>
      </c>
      <c r="B394" t="s">
        <v>20</v>
      </c>
      <c r="C394" t="s">
        <v>21</v>
      </c>
      <c r="D394" t="s">
        <v>11</v>
      </c>
      <c r="E394">
        <v>73078.929999999993</v>
      </c>
      <c r="F394">
        <v>3</v>
      </c>
      <c r="G394">
        <v>219236.79</v>
      </c>
      <c r="H394" s="1">
        <v>46176</v>
      </c>
      <c r="I394" t="s">
        <v>17</v>
      </c>
    </row>
    <row r="395" spans="1:9" x14ac:dyDescent="0.3">
      <c r="A395" t="s">
        <v>423</v>
      </c>
      <c r="B395" t="s">
        <v>20</v>
      </c>
      <c r="C395" t="s">
        <v>21</v>
      </c>
      <c r="D395" t="s">
        <v>11</v>
      </c>
      <c r="E395">
        <v>2903.11</v>
      </c>
      <c r="F395">
        <v>1</v>
      </c>
      <c r="G395">
        <v>2903.11</v>
      </c>
      <c r="H395" s="1">
        <v>46169</v>
      </c>
      <c r="I395" t="s">
        <v>27</v>
      </c>
    </row>
    <row r="396" spans="1:9" x14ac:dyDescent="0.3">
      <c r="A396" t="s">
        <v>424</v>
      </c>
      <c r="B396" t="s">
        <v>24</v>
      </c>
      <c r="C396" t="s">
        <v>25</v>
      </c>
      <c r="D396" t="s">
        <v>47</v>
      </c>
      <c r="E396">
        <v>5949.52</v>
      </c>
      <c r="F396">
        <v>1</v>
      </c>
      <c r="G396">
        <v>5949.52</v>
      </c>
      <c r="H396" s="1">
        <v>46084</v>
      </c>
      <c r="I396" t="s">
        <v>22</v>
      </c>
    </row>
    <row r="397" spans="1:9" x14ac:dyDescent="0.3">
      <c r="A397" t="s">
        <v>425</v>
      </c>
      <c r="B397" t="s">
        <v>14</v>
      </c>
      <c r="C397" t="s">
        <v>15</v>
      </c>
      <c r="D397" t="s">
        <v>11</v>
      </c>
      <c r="E397">
        <v>69578.23</v>
      </c>
      <c r="F397">
        <v>3</v>
      </c>
      <c r="G397">
        <v>208734.69</v>
      </c>
      <c r="H397" s="1">
        <v>46197</v>
      </c>
      <c r="I397" t="s">
        <v>12</v>
      </c>
    </row>
    <row r="398" spans="1:9" x14ac:dyDescent="0.3">
      <c r="A398" t="s">
        <v>426</v>
      </c>
      <c r="B398" t="s">
        <v>9</v>
      </c>
      <c r="C398" t="s">
        <v>10</v>
      </c>
      <c r="D398" t="s">
        <v>16</v>
      </c>
      <c r="E398">
        <v>1174.94</v>
      </c>
      <c r="F398">
        <v>4</v>
      </c>
      <c r="G398">
        <v>4699.76</v>
      </c>
      <c r="H398" s="1">
        <v>46109</v>
      </c>
      <c r="I398" t="s">
        <v>27</v>
      </c>
    </row>
    <row r="399" spans="1:9" x14ac:dyDescent="0.3">
      <c r="A399" t="s">
        <v>427</v>
      </c>
      <c r="B399" t="s">
        <v>38</v>
      </c>
      <c r="C399" t="s">
        <v>39</v>
      </c>
      <c r="D399" t="s">
        <v>33</v>
      </c>
      <c r="E399">
        <v>2470.35</v>
      </c>
      <c r="F399">
        <v>1</v>
      </c>
      <c r="G399">
        <v>2470.35</v>
      </c>
      <c r="H399" s="1">
        <v>46214</v>
      </c>
      <c r="I399" t="s">
        <v>27</v>
      </c>
    </row>
    <row r="400" spans="1:9" x14ac:dyDescent="0.3">
      <c r="A400" t="s">
        <v>428</v>
      </c>
      <c r="B400" t="s">
        <v>14</v>
      </c>
      <c r="C400" t="s">
        <v>15</v>
      </c>
      <c r="D400" t="s">
        <v>16</v>
      </c>
      <c r="E400">
        <v>8395.9</v>
      </c>
      <c r="F400">
        <v>5</v>
      </c>
      <c r="G400">
        <v>41979.5</v>
      </c>
      <c r="H400" s="1">
        <v>46347</v>
      </c>
      <c r="I400" t="s">
        <v>27</v>
      </c>
    </row>
    <row r="401" spans="1:9" x14ac:dyDescent="0.3">
      <c r="A401" t="s">
        <v>429</v>
      </c>
      <c r="B401" t="s">
        <v>14</v>
      </c>
      <c r="C401" t="s">
        <v>15</v>
      </c>
      <c r="D401" t="s">
        <v>31</v>
      </c>
      <c r="E401">
        <v>3257.42</v>
      </c>
      <c r="F401">
        <v>2</v>
      </c>
      <c r="G401">
        <v>6514.84</v>
      </c>
      <c r="H401" s="1">
        <v>46306</v>
      </c>
      <c r="I401" t="s">
        <v>22</v>
      </c>
    </row>
    <row r="402" spans="1:9" x14ac:dyDescent="0.3">
      <c r="A402" t="s">
        <v>430</v>
      </c>
      <c r="B402" t="s">
        <v>38</v>
      </c>
      <c r="C402" t="s">
        <v>39</v>
      </c>
      <c r="D402" t="s">
        <v>16</v>
      </c>
      <c r="E402">
        <v>1105.28</v>
      </c>
      <c r="F402">
        <v>4</v>
      </c>
      <c r="G402">
        <v>4421.12</v>
      </c>
      <c r="H402" s="1">
        <v>46197</v>
      </c>
      <c r="I402" t="s">
        <v>22</v>
      </c>
    </row>
    <row r="403" spans="1:9" x14ac:dyDescent="0.3">
      <c r="A403" t="s">
        <v>431</v>
      </c>
      <c r="B403" t="s">
        <v>29</v>
      </c>
      <c r="C403" t="s">
        <v>30</v>
      </c>
      <c r="D403" t="s">
        <v>11</v>
      </c>
      <c r="E403">
        <v>62714.17</v>
      </c>
      <c r="F403">
        <v>1</v>
      </c>
      <c r="G403">
        <v>62714.17</v>
      </c>
      <c r="H403" s="1">
        <v>46379</v>
      </c>
      <c r="I403" t="s">
        <v>12</v>
      </c>
    </row>
    <row r="404" spans="1:9" x14ac:dyDescent="0.3">
      <c r="A404" t="s">
        <v>432</v>
      </c>
      <c r="B404" t="s">
        <v>9</v>
      </c>
      <c r="C404" t="s">
        <v>10</v>
      </c>
      <c r="D404" t="s">
        <v>33</v>
      </c>
      <c r="E404">
        <v>10611.45</v>
      </c>
      <c r="F404">
        <v>1</v>
      </c>
      <c r="G404">
        <v>10611.45</v>
      </c>
      <c r="H404" s="1">
        <v>46380</v>
      </c>
      <c r="I404" t="s">
        <v>12</v>
      </c>
    </row>
    <row r="405" spans="1:9" x14ac:dyDescent="0.3">
      <c r="A405" t="s">
        <v>433</v>
      </c>
      <c r="B405" t="s">
        <v>24</v>
      </c>
      <c r="C405" t="s">
        <v>25</v>
      </c>
      <c r="D405" t="s">
        <v>31</v>
      </c>
      <c r="E405">
        <v>4540.63</v>
      </c>
      <c r="F405">
        <v>9</v>
      </c>
      <c r="G405">
        <v>40865.67</v>
      </c>
      <c r="H405" s="1">
        <v>46185</v>
      </c>
      <c r="I405" t="s">
        <v>12</v>
      </c>
    </row>
    <row r="406" spans="1:9" x14ac:dyDescent="0.3">
      <c r="A406" t="s">
        <v>434</v>
      </c>
      <c r="B406" t="s">
        <v>29</v>
      </c>
      <c r="C406" t="s">
        <v>30</v>
      </c>
      <c r="D406" t="s">
        <v>11</v>
      </c>
      <c r="E406">
        <v>65946.92</v>
      </c>
      <c r="F406">
        <v>3</v>
      </c>
      <c r="G406">
        <v>197840.76</v>
      </c>
      <c r="H406" s="1">
        <v>46301</v>
      </c>
      <c r="I406" t="s">
        <v>12</v>
      </c>
    </row>
    <row r="407" spans="1:9" x14ac:dyDescent="0.3">
      <c r="A407" t="s">
        <v>435</v>
      </c>
      <c r="B407" t="s">
        <v>9</v>
      </c>
      <c r="C407" t="s">
        <v>10</v>
      </c>
      <c r="D407" t="s">
        <v>31</v>
      </c>
      <c r="E407">
        <v>4071.91</v>
      </c>
      <c r="F407">
        <v>2</v>
      </c>
      <c r="G407">
        <v>8143.82</v>
      </c>
      <c r="H407" s="1">
        <v>46147</v>
      </c>
      <c r="I407" t="s">
        <v>27</v>
      </c>
    </row>
    <row r="408" spans="1:9" x14ac:dyDescent="0.3">
      <c r="A408" t="s">
        <v>436</v>
      </c>
      <c r="B408" t="s">
        <v>38</v>
      </c>
      <c r="C408" t="s">
        <v>39</v>
      </c>
      <c r="D408" t="s">
        <v>33</v>
      </c>
      <c r="E408">
        <v>10463.209999999999</v>
      </c>
      <c r="F408">
        <v>1</v>
      </c>
      <c r="G408">
        <v>10463.209999999999</v>
      </c>
      <c r="H408" s="1">
        <v>46343</v>
      </c>
      <c r="I408" t="s">
        <v>22</v>
      </c>
    </row>
    <row r="409" spans="1:9" x14ac:dyDescent="0.3">
      <c r="A409" t="s">
        <v>437</v>
      </c>
      <c r="B409" t="s">
        <v>9</v>
      </c>
      <c r="C409" t="s">
        <v>10</v>
      </c>
      <c r="D409" t="s">
        <v>11</v>
      </c>
      <c r="E409">
        <v>19476.93</v>
      </c>
      <c r="F409">
        <v>2</v>
      </c>
      <c r="G409">
        <v>38953.86</v>
      </c>
      <c r="H409" s="1">
        <v>46159</v>
      </c>
      <c r="I409" t="s">
        <v>27</v>
      </c>
    </row>
    <row r="410" spans="1:9" x14ac:dyDescent="0.3">
      <c r="A410" t="s">
        <v>438</v>
      </c>
      <c r="B410" t="s">
        <v>24</v>
      </c>
      <c r="C410" t="s">
        <v>25</v>
      </c>
      <c r="D410" t="s">
        <v>47</v>
      </c>
      <c r="E410">
        <v>4097.21</v>
      </c>
      <c r="F410">
        <v>1</v>
      </c>
      <c r="G410">
        <v>4097.21</v>
      </c>
      <c r="H410" s="1">
        <v>46117</v>
      </c>
      <c r="I410" t="s">
        <v>17</v>
      </c>
    </row>
    <row r="411" spans="1:9" x14ac:dyDescent="0.3">
      <c r="A411" t="s">
        <v>439</v>
      </c>
      <c r="B411" t="s">
        <v>29</v>
      </c>
      <c r="C411" t="s">
        <v>30</v>
      </c>
      <c r="D411" t="s">
        <v>26</v>
      </c>
      <c r="E411">
        <v>5939.76</v>
      </c>
      <c r="F411">
        <v>3</v>
      </c>
      <c r="G411">
        <v>17819.28</v>
      </c>
      <c r="H411" s="1">
        <v>46071</v>
      </c>
      <c r="I411" t="s">
        <v>12</v>
      </c>
    </row>
    <row r="412" spans="1:9" x14ac:dyDescent="0.3">
      <c r="A412" t="s">
        <v>440</v>
      </c>
      <c r="B412" t="s">
        <v>20</v>
      </c>
      <c r="C412" t="s">
        <v>21</v>
      </c>
      <c r="D412" t="s">
        <v>47</v>
      </c>
      <c r="E412">
        <v>5304.88</v>
      </c>
      <c r="F412">
        <v>5</v>
      </c>
      <c r="G412">
        <v>26524.400000000001</v>
      </c>
      <c r="H412" s="1">
        <v>46330</v>
      </c>
      <c r="I412" t="s">
        <v>22</v>
      </c>
    </row>
    <row r="413" spans="1:9" x14ac:dyDescent="0.3">
      <c r="A413" t="s">
        <v>441</v>
      </c>
      <c r="B413" t="s">
        <v>20</v>
      </c>
      <c r="C413" t="s">
        <v>21</v>
      </c>
      <c r="D413" t="s">
        <v>33</v>
      </c>
      <c r="E413">
        <v>2939.35</v>
      </c>
      <c r="F413">
        <v>4</v>
      </c>
      <c r="G413">
        <v>11757.4</v>
      </c>
      <c r="H413" s="1">
        <v>46131</v>
      </c>
      <c r="I413" t="s">
        <v>12</v>
      </c>
    </row>
    <row r="414" spans="1:9" x14ac:dyDescent="0.3">
      <c r="A414" t="s">
        <v>442</v>
      </c>
      <c r="B414" t="s">
        <v>24</v>
      </c>
      <c r="C414" t="s">
        <v>25</v>
      </c>
      <c r="D414" t="s">
        <v>47</v>
      </c>
      <c r="E414">
        <v>4138.2700000000004</v>
      </c>
      <c r="F414">
        <v>2</v>
      </c>
      <c r="G414">
        <v>8276.5400000000009</v>
      </c>
      <c r="H414" s="1">
        <v>46319</v>
      </c>
      <c r="I414" t="s">
        <v>17</v>
      </c>
    </row>
    <row r="415" spans="1:9" x14ac:dyDescent="0.3">
      <c r="A415" t="s">
        <v>443</v>
      </c>
      <c r="B415" t="s">
        <v>29</v>
      </c>
      <c r="C415" t="s">
        <v>30</v>
      </c>
      <c r="D415" t="s">
        <v>33</v>
      </c>
      <c r="E415">
        <v>1371.32</v>
      </c>
      <c r="F415">
        <v>1</v>
      </c>
      <c r="G415">
        <v>1371.32</v>
      </c>
      <c r="H415" s="1">
        <v>46054</v>
      </c>
      <c r="I415" t="s">
        <v>22</v>
      </c>
    </row>
    <row r="416" spans="1:9" x14ac:dyDescent="0.3">
      <c r="A416" t="s">
        <v>444</v>
      </c>
      <c r="B416" t="s">
        <v>24</v>
      </c>
      <c r="C416" t="s">
        <v>25</v>
      </c>
      <c r="D416" t="s">
        <v>11</v>
      </c>
      <c r="E416">
        <v>23023.83</v>
      </c>
      <c r="F416">
        <v>3</v>
      </c>
      <c r="G416">
        <v>69071.490000000005</v>
      </c>
      <c r="H416" s="1">
        <v>46205</v>
      </c>
      <c r="I416" t="s">
        <v>17</v>
      </c>
    </row>
    <row r="417" spans="1:9" x14ac:dyDescent="0.3">
      <c r="A417" t="s">
        <v>445</v>
      </c>
      <c r="B417" t="s">
        <v>38</v>
      </c>
      <c r="C417" t="s">
        <v>39</v>
      </c>
      <c r="D417" t="s">
        <v>47</v>
      </c>
      <c r="E417">
        <v>1933.44</v>
      </c>
      <c r="F417">
        <v>1</v>
      </c>
      <c r="G417">
        <v>1933.44</v>
      </c>
      <c r="H417" s="1">
        <v>46179</v>
      </c>
      <c r="I417" t="s">
        <v>27</v>
      </c>
    </row>
    <row r="418" spans="1:9" x14ac:dyDescent="0.3">
      <c r="A418" t="s">
        <v>446</v>
      </c>
      <c r="B418" t="s">
        <v>24</v>
      </c>
      <c r="C418" t="s">
        <v>25</v>
      </c>
      <c r="D418" t="s">
        <v>16</v>
      </c>
      <c r="E418">
        <v>7554.37</v>
      </c>
      <c r="F418">
        <v>3</v>
      </c>
      <c r="G418">
        <v>22663.11</v>
      </c>
      <c r="H418" s="1">
        <v>46183</v>
      </c>
      <c r="I418" t="s">
        <v>27</v>
      </c>
    </row>
    <row r="419" spans="1:9" x14ac:dyDescent="0.3">
      <c r="A419" t="s">
        <v>447</v>
      </c>
      <c r="B419" t="s">
        <v>9</v>
      </c>
      <c r="C419" t="s">
        <v>10</v>
      </c>
      <c r="D419" t="s">
        <v>16</v>
      </c>
      <c r="E419">
        <v>9505.4</v>
      </c>
      <c r="F419">
        <v>3</v>
      </c>
      <c r="G419">
        <v>28516.2</v>
      </c>
      <c r="H419" s="1">
        <v>46084</v>
      </c>
      <c r="I419" t="s">
        <v>22</v>
      </c>
    </row>
    <row r="420" spans="1:9" x14ac:dyDescent="0.3">
      <c r="A420" t="s">
        <v>448</v>
      </c>
      <c r="B420" t="s">
        <v>24</v>
      </c>
      <c r="C420" t="s">
        <v>25</v>
      </c>
      <c r="D420" t="s">
        <v>33</v>
      </c>
      <c r="E420">
        <v>1428.87</v>
      </c>
      <c r="F420">
        <v>3</v>
      </c>
      <c r="G420">
        <v>4286.6099999999997</v>
      </c>
      <c r="H420" s="1">
        <v>46049</v>
      </c>
      <c r="I420" t="s">
        <v>27</v>
      </c>
    </row>
    <row r="421" spans="1:9" x14ac:dyDescent="0.3">
      <c r="A421" t="s">
        <v>449</v>
      </c>
      <c r="B421" t="s">
        <v>29</v>
      </c>
      <c r="C421" t="s">
        <v>30</v>
      </c>
      <c r="D421" t="s">
        <v>33</v>
      </c>
      <c r="E421">
        <v>17050.59</v>
      </c>
      <c r="F421">
        <v>1</v>
      </c>
      <c r="G421">
        <v>17050.59</v>
      </c>
      <c r="H421" s="1">
        <v>46149</v>
      </c>
      <c r="I421" t="s">
        <v>12</v>
      </c>
    </row>
    <row r="422" spans="1:9" x14ac:dyDescent="0.3">
      <c r="A422" t="s">
        <v>450</v>
      </c>
      <c r="B422" t="s">
        <v>20</v>
      </c>
      <c r="C422" t="s">
        <v>21</v>
      </c>
      <c r="D422" t="s">
        <v>26</v>
      </c>
      <c r="E422">
        <v>43177.62</v>
      </c>
      <c r="F422">
        <v>3</v>
      </c>
      <c r="G422">
        <v>129532.86</v>
      </c>
      <c r="H422" s="1">
        <v>46194</v>
      </c>
      <c r="I422" t="s">
        <v>27</v>
      </c>
    </row>
    <row r="423" spans="1:9" x14ac:dyDescent="0.3">
      <c r="A423" t="s">
        <v>451</v>
      </c>
      <c r="B423" t="s">
        <v>24</v>
      </c>
      <c r="C423" t="s">
        <v>25</v>
      </c>
      <c r="D423" t="s">
        <v>16</v>
      </c>
      <c r="E423">
        <v>4304.55</v>
      </c>
      <c r="F423">
        <v>4</v>
      </c>
      <c r="G423">
        <v>17218.2</v>
      </c>
      <c r="H423" s="1">
        <v>46312</v>
      </c>
      <c r="I423" t="s">
        <v>27</v>
      </c>
    </row>
    <row r="424" spans="1:9" x14ac:dyDescent="0.3">
      <c r="A424" t="s">
        <v>452</v>
      </c>
      <c r="B424" t="s">
        <v>24</v>
      </c>
      <c r="C424" t="s">
        <v>25</v>
      </c>
      <c r="D424" t="s">
        <v>16</v>
      </c>
      <c r="E424">
        <v>8010.35</v>
      </c>
      <c r="F424">
        <v>2</v>
      </c>
      <c r="G424">
        <v>16020.7</v>
      </c>
      <c r="H424" s="1">
        <v>46191</v>
      </c>
      <c r="I424" t="s">
        <v>12</v>
      </c>
    </row>
    <row r="425" spans="1:9" x14ac:dyDescent="0.3">
      <c r="A425" t="s">
        <v>453</v>
      </c>
      <c r="B425" t="s">
        <v>24</v>
      </c>
      <c r="C425" t="s">
        <v>25</v>
      </c>
      <c r="D425" t="s">
        <v>31</v>
      </c>
      <c r="E425">
        <v>2042.93</v>
      </c>
      <c r="F425">
        <v>4</v>
      </c>
      <c r="G425">
        <v>8171.72</v>
      </c>
      <c r="H425" s="1">
        <v>46112</v>
      </c>
      <c r="I425" t="s">
        <v>27</v>
      </c>
    </row>
    <row r="426" spans="1:9" x14ac:dyDescent="0.3">
      <c r="A426" t="s">
        <v>454</v>
      </c>
      <c r="B426" t="s">
        <v>20</v>
      </c>
      <c r="C426" t="s">
        <v>21</v>
      </c>
      <c r="D426" t="s">
        <v>31</v>
      </c>
      <c r="E426">
        <v>813.24</v>
      </c>
      <c r="F426">
        <v>1</v>
      </c>
      <c r="G426">
        <v>813.24</v>
      </c>
      <c r="H426" s="1">
        <v>46118</v>
      </c>
      <c r="I426" t="s">
        <v>12</v>
      </c>
    </row>
    <row r="427" spans="1:9" x14ac:dyDescent="0.3">
      <c r="A427" t="s">
        <v>455</v>
      </c>
      <c r="B427" t="s">
        <v>9</v>
      </c>
      <c r="C427" t="s">
        <v>10</v>
      </c>
      <c r="D427" t="s">
        <v>31</v>
      </c>
      <c r="E427">
        <v>2666.88</v>
      </c>
      <c r="F427">
        <v>5</v>
      </c>
      <c r="G427">
        <v>13334.4</v>
      </c>
      <c r="H427" s="1">
        <v>46246</v>
      </c>
      <c r="I427" t="s">
        <v>12</v>
      </c>
    </row>
    <row r="428" spans="1:9" x14ac:dyDescent="0.3">
      <c r="A428" t="s">
        <v>456</v>
      </c>
      <c r="B428" t="s">
        <v>38</v>
      </c>
      <c r="C428" t="s">
        <v>39</v>
      </c>
      <c r="D428" t="s">
        <v>11</v>
      </c>
      <c r="E428">
        <v>7207.89</v>
      </c>
      <c r="F428">
        <v>1</v>
      </c>
      <c r="G428">
        <v>7207.89</v>
      </c>
      <c r="H428" s="1">
        <v>46182</v>
      </c>
      <c r="I428" t="s">
        <v>27</v>
      </c>
    </row>
    <row r="429" spans="1:9" x14ac:dyDescent="0.3">
      <c r="A429" t="s">
        <v>457</v>
      </c>
      <c r="B429" t="s">
        <v>9</v>
      </c>
      <c r="C429" t="s">
        <v>10</v>
      </c>
      <c r="D429" t="s">
        <v>11</v>
      </c>
      <c r="E429">
        <v>65982.63</v>
      </c>
      <c r="F429">
        <v>1</v>
      </c>
      <c r="G429">
        <v>65982.63</v>
      </c>
      <c r="H429" s="1">
        <v>46351</v>
      </c>
      <c r="I429" t="s">
        <v>22</v>
      </c>
    </row>
    <row r="430" spans="1:9" x14ac:dyDescent="0.3">
      <c r="A430" t="s">
        <v>458</v>
      </c>
      <c r="B430" t="s">
        <v>24</v>
      </c>
      <c r="C430" t="s">
        <v>25</v>
      </c>
      <c r="D430" t="s">
        <v>47</v>
      </c>
      <c r="E430">
        <v>7401.89</v>
      </c>
      <c r="F430">
        <v>3</v>
      </c>
      <c r="G430">
        <v>22205.67</v>
      </c>
      <c r="H430" s="1">
        <v>46183</v>
      </c>
      <c r="I430" t="s">
        <v>22</v>
      </c>
    </row>
    <row r="431" spans="1:9" x14ac:dyDescent="0.3">
      <c r="A431" t="s">
        <v>459</v>
      </c>
      <c r="B431" t="s">
        <v>9</v>
      </c>
      <c r="C431" t="s">
        <v>10</v>
      </c>
      <c r="D431" t="s">
        <v>16</v>
      </c>
      <c r="E431">
        <v>9912.8700000000008</v>
      </c>
      <c r="F431">
        <v>3</v>
      </c>
      <c r="G431">
        <v>29738.61</v>
      </c>
      <c r="H431" s="1">
        <v>46229</v>
      </c>
      <c r="I431" t="s">
        <v>12</v>
      </c>
    </row>
    <row r="432" spans="1:9" x14ac:dyDescent="0.3">
      <c r="A432" t="s">
        <v>460</v>
      </c>
      <c r="B432" t="s">
        <v>29</v>
      </c>
      <c r="C432" t="s">
        <v>30</v>
      </c>
      <c r="D432" t="s">
        <v>33</v>
      </c>
      <c r="E432">
        <v>11381.8</v>
      </c>
      <c r="F432">
        <v>1</v>
      </c>
      <c r="G432">
        <v>11381.8</v>
      </c>
      <c r="H432" s="1">
        <v>46046</v>
      </c>
      <c r="I432" t="s">
        <v>12</v>
      </c>
    </row>
    <row r="433" spans="1:9" x14ac:dyDescent="0.3">
      <c r="A433" t="s">
        <v>461</v>
      </c>
      <c r="B433" t="s">
        <v>9</v>
      </c>
      <c r="C433" t="s">
        <v>10</v>
      </c>
      <c r="D433" t="s">
        <v>26</v>
      </c>
      <c r="E433">
        <v>28322.33</v>
      </c>
      <c r="F433">
        <v>1</v>
      </c>
      <c r="G433">
        <v>28322.33</v>
      </c>
      <c r="H433" s="1">
        <v>46093</v>
      </c>
      <c r="I433" t="s">
        <v>12</v>
      </c>
    </row>
    <row r="434" spans="1:9" x14ac:dyDescent="0.3">
      <c r="A434" t="s">
        <v>462</v>
      </c>
      <c r="B434" t="s">
        <v>20</v>
      </c>
      <c r="C434" t="s">
        <v>21</v>
      </c>
      <c r="D434" t="s">
        <v>11</v>
      </c>
      <c r="E434">
        <v>73857.87</v>
      </c>
      <c r="F434">
        <v>1</v>
      </c>
      <c r="G434">
        <v>73857.87</v>
      </c>
      <c r="H434" s="1">
        <v>46333</v>
      </c>
      <c r="I434" t="s">
        <v>22</v>
      </c>
    </row>
    <row r="435" spans="1:9" x14ac:dyDescent="0.3">
      <c r="A435" t="s">
        <v>463</v>
      </c>
      <c r="B435" t="s">
        <v>9</v>
      </c>
      <c r="C435" t="s">
        <v>10</v>
      </c>
      <c r="D435" t="s">
        <v>11</v>
      </c>
      <c r="E435">
        <v>19194.310000000001</v>
      </c>
      <c r="F435">
        <v>3</v>
      </c>
      <c r="G435">
        <v>57582.93</v>
      </c>
      <c r="H435" s="1">
        <v>46148</v>
      </c>
      <c r="I435" t="s">
        <v>17</v>
      </c>
    </row>
    <row r="436" spans="1:9" x14ac:dyDescent="0.3">
      <c r="A436" t="s">
        <v>464</v>
      </c>
      <c r="B436" t="s">
        <v>24</v>
      </c>
      <c r="C436" t="s">
        <v>25</v>
      </c>
      <c r="D436" t="s">
        <v>11</v>
      </c>
      <c r="E436">
        <v>6435.37</v>
      </c>
      <c r="F436">
        <v>2</v>
      </c>
      <c r="G436">
        <v>12870.74</v>
      </c>
      <c r="H436" s="1">
        <v>46176</v>
      </c>
      <c r="I436" t="s">
        <v>22</v>
      </c>
    </row>
    <row r="437" spans="1:9" x14ac:dyDescent="0.3">
      <c r="A437" t="s">
        <v>465</v>
      </c>
      <c r="B437" t="s">
        <v>24</v>
      </c>
      <c r="C437" t="s">
        <v>25</v>
      </c>
      <c r="D437" t="s">
        <v>33</v>
      </c>
      <c r="E437">
        <v>11370.24</v>
      </c>
      <c r="F437">
        <v>1</v>
      </c>
      <c r="G437">
        <v>11370.24</v>
      </c>
      <c r="H437" s="1">
        <v>46238</v>
      </c>
      <c r="I437" t="s">
        <v>12</v>
      </c>
    </row>
    <row r="438" spans="1:9" x14ac:dyDescent="0.3">
      <c r="A438" t="s">
        <v>466</v>
      </c>
      <c r="B438" t="s">
        <v>24</v>
      </c>
      <c r="C438" t="s">
        <v>25</v>
      </c>
      <c r="D438" t="s">
        <v>11</v>
      </c>
      <c r="E438">
        <v>25195.89</v>
      </c>
      <c r="F438">
        <v>1</v>
      </c>
      <c r="G438">
        <v>25195.89</v>
      </c>
      <c r="H438" s="1">
        <v>46044</v>
      </c>
      <c r="I438" t="s">
        <v>22</v>
      </c>
    </row>
    <row r="439" spans="1:9" x14ac:dyDescent="0.3">
      <c r="A439" t="s">
        <v>467</v>
      </c>
      <c r="B439" t="s">
        <v>14</v>
      </c>
      <c r="C439" t="s">
        <v>15</v>
      </c>
      <c r="D439" t="s">
        <v>16</v>
      </c>
      <c r="E439">
        <v>4071.36</v>
      </c>
      <c r="F439">
        <v>5</v>
      </c>
      <c r="G439">
        <v>20356.8</v>
      </c>
      <c r="H439" s="1">
        <v>46207</v>
      </c>
      <c r="I439" t="s">
        <v>22</v>
      </c>
    </row>
    <row r="440" spans="1:9" x14ac:dyDescent="0.3">
      <c r="A440" t="s">
        <v>468</v>
      </c>
      <c r="B440" t="s">
        <v>9</v>
      </c>
      <c r="C440" t="s">
        <v>10</v>
      </c>
      <c r="D440" t="s">
        <v>33</v>
      </c>
      <c r="E440">
        <v>439.58</v>
      </c>
      <c r="F440">
        <v>2</v>
      </c>
      <c r="G440">
        <v>879.16</v>
      </c>
      <c r="H440" s="1">
        <v>46149</v>
      </c>
      <c r="I440" t="s">
        <v>17</v>
      </c>
    </row>
    <row r="441" spans="1:9" x14ac:dyDescent="0.3">
      <c r="A441" t="s">
        <v>469</v>
      </c>
      <c r="B441" t="s">
        <v>20</v>
      </c>
      <c r="C441" t="s">
        <v>21</v>
      </c>
      <c r="D441" t="s">
        <v>33</v>
      </c>
      <c r="E441">
        <v>12045.92</v>
      </c>
      <c r="F441">
        <v>3</v>
      </c>
      <c r="G441">
        <v>36137.760000000002</v>
      </c>
      <c r="H441" s="1">
        <v>46077</v>
      </c>
      <c r="I441" t="s">
        <v>12</v>
      </c>
    </row>
    <row r="442" spans="1:9" x14ac:dyDescent="0.3">
      <c r="A442" t="s">
        <v>470</v>
      </c>
      <c r="B442" t="s">
        <v>9</v>
      </c>
      <c r="C442" t="s">
        <v>10</v>
      </c>
      <c r="D442" t="s">
        <v>31</v>
      </c>
      <c r="E442">
        <v>1356.97</v>
      </c>
      <c r="F442">
        <v>5</v>
      </c>
      <c r="G442">
        <v>6784.85</v>
      </c>
      <c r="H442" s="1">
        <v>46175</v>
      </c>
      <c r="I442" t="s">
        <v>12</v>
      </c>
    </row>
    <row r="443" spans="1:9" x14ac:dyDescent="0.3">
      <c r="A443" t="s">
        <v>471</v>
      </c>
      <c r="B443" t="s">
        <v>24</v>
      </c>
      <c r="C443" t="s">
        <v>25</v>
      </c>
      <c r="D443" t="s">
        <v>11</v>
      </c>
      <c r="E443">
        <v>14739.1</v>
      </c>
      <c r="F443">
        <v>1</v>
      </c>
      <c r="G443">
        <v>14739.1</v>
      </c>
      <c r="H443" s="1">
        <v>46186</v>
      </c>
      <c r="I443" t="s">
        <v>27</v>
      </c>
    </row>
    <row r="444" spans="1:9" x14ac:dyDescent="0.3">
      <c r="A444" t="s">
        <v>472</v>
      </c>
      <c r="B444" t="s">
        <v>9</v>
      </c>
      <c r="C444" t="s">
        <v>10</v>
      </c>
      <c r="D444" t="s">
        <v>11</v>
      </c>
      <c r="E444">
        <v>3800.05</v>
      </c>
      <c r="F444">
        <v>1</v>
      </c>
      <c r="G444">
        <v>3800.05</v>
      </c>
      <c r="H444" s="1">
        <v>46091</v>
      </c>
      <c r="I444" t="s">
        <v>27</v>
      </c>
    </row>
    <row r="445" spans="1:9" x14ac:dyDescent="0.3">
      <c r="A445" t="s">
        <v>473</v>
      </c>
      <c r="B445" t="s">
        <v>24</v>
      </c>
      <c r="C445" t="s">
        <v>25</v>
      </c>
      <c r="D445" t="s">
        <v>11</v>
      </c>
      <c r="E445">
        <v>27835.63</v>
      </c>
      <c r="F445">
        <v>1</v>
      </c>
      <c r="G445">
        <v>27835.63</v>
      </c>
      <c r="H445" s="1">
        <v>46221</v>
      </c>
      <c r="I445" t="s">
        <v>22</v>
      </c>
    </row>
    <row r="446" spans="1:9" x14ac:dyDescent="0.3">
      <c r="A446" t="s">
        <v>474</v>
      </c>
      <c r="B446" t="s">
        <v>38</v>
      </c>
      <c r="C446" t="s">
        <v>39</v>
      </c>
      <c r="D446" t="s">
        <v>11</v>
      </c>
      <c r="E446">
        <v>66019.490000000005</v>
      </c>
      <c r="F446">
        <v>3</v>
      </c>
      <c r="G446">
        <v>198058.47</v>
      </c>
      <c r="H446" s="1">
        <v>46295</v>
      </c>
      <c r="I446" t="s">
        <v>17</v>
      </c>
    </row>
    <row r="447" spans="1:9" x14ac:dyDescent="0.3">
      <c r="A447" t="s">
        <v>475</v>
      </c>
      <c r="B447" t="s">
        <v>20</v>
      </c>
      <c r="C447" t="s">
        <v>21</v>
      </c>
      <c r="D447" t="s">
        <v>16</v>
      </c>
      <c r="E447">
        <v>4239.05</v>
      </c>
      <c r="F447">
        <v>2</v>
      </c>
      <c r="G447">
        <v>8478.1</v>
      </c>
      <c r="H447" s="1">
        <v>46120</v>
      </c>
      <c r="I447" t="s">
        <v>22</v>
      </c>
    </row>
    <row r="448" spans="1:9" x14ac:dyDescent="0.3">
      <c r="A448" t="s">
        <v>476</v>
      </c>
      <c r="B448" t="s">
        <v>29</v>
      </c>
      <c r="C448" t="s">
        <v>30</v>
      </c>
      <c r="D448" t="s">
        <v>33</v>
      </c>
      <c r="E448">
        <v>13677.76</v>
      </c>
      <c r="F448">
        <v>2</v>
      </c>
      <c r="G448">
        <v>27355.52</v>
      </c>
      <c r="H448" s="1">
        <v>46375</v>
      </c>
      <c r="I448" t="s">
        <v>27</v>
      </c>
    </row>
    <row r="449" spans="1:9" x14ac:dyDescent="0.3">
      <c r="A449" t="s">
        <v>477</v>
      </c>
      <c r="B449" t="s">
        <v>20</v>
      </c>
      <c r="C449" t="s">
        <v>21</v>
      </c>
      <c r="D449" t="s">
        <v>16</v>
      </c>
      <c r="E449">
        <v>9151.6</v>
      </c>
      <c r="F449">
        <v>1</v>
      </c>
      <c r="G449">
        <v>9151.6</v>
      </c>
      <c r="H449" s="1">
        <v>46246</v>
      </c>
      <c r="I449" t="s">
        <v>17</v>
      </c>
    </row>
    <row r="450" spans="1:9" x14ac:dyDescent="0.3">
      <c r="A450" t="s">
        <v>478</v>
      </c>
      <c r="B450" t="s">
        <v>24</v>
      </c>
      <c r="C450" t="s">
        <v>25</v>
      </c>
      <c r="D450" t="s">
        <v>26</v>
      </c>
      <c r="E450">
        <v>17076.939999999999</v>
      </c>
      <c r="F450">
        <v>3</v>
      </c>
      <c r="G450">
        <v>51230.82</v>
      </c>
      <c r="H450" s="1">
        <v>46305</v>
      </c>
      <c r="I450" t="s">
        <v>22</v>
      </c>
    </row>
    <row r="451" spans="1:9" x14ac:dyDescent="0.3">
      <c r="A451" t="s">
        <v>479</v>
      </c>
      <c r="B451" t="s">
        <v>20</v>
      </c>
      <c r="C451" t="s">
        <v>21</v>
      </c>
      <c r="D451" t="s">
        <v>11</v>
      </c>
      <c r="E451">
        <v>61765.74</v>
      </c>
      <c r="F451">
        <v>1</v>
      </c>
      <c r="G451">
        <v>61765.74</v>
      </c>
      <c r="H451" s="1">
        <v>46048</v>
      </c>
      <c r="I451" t="s">
        <v>22</v>
      </c>
    </row>
    <row r="452" spans="1:9" x14ac:dyDescent="0.3">
      <c r="A452" t="s">
        <v>480</v>
      </c>
      <c r="B452" t="s">
        <v>24</v>
      </c>
      <c r="C452" t="s">
        <v>25</v>
      </c>
      <c r="D452" t="s">
        <v>47</v>
      </c>
      <c r="E452">
        <v>5565.85</v>
      </c>
      <c r="F452">
        <v>3</v>
      </c>
      <c r="G452">
        <v>16697.55</v>
      </c>
      <c r="H452" s="1">
        <v>46303</v>
      </c>
      <c r="I452" t="s">
        <v>22</v>
      </c>
    </row>
    <row r="453" spans="1:9" x14ac:dyDescent="0.3">
      <c r="A453" t="s">
        <v>481</v>
      </c>
      <c r="B453" t="s">
        <v>29</v>
      </c>
      <c r="C453" t="s">
        <v>30</v>
      </c>
      <c r="D453" t="s">
        <v>26</v>
      </c>
      <c r="E453">
        <v>28402.87</v>
      </c>
      <c r="F453">
        <v>3</v>
      </c>
      <c r="G453">
        <v>85208.61</v>
      </c>
      <c r="H453" s="1">
        <v>46145</v>
      </c>
      <c r="I453" t="s">
        <v>12</v>
      </c>
    </row>
    <row r="454" spans="1:9" x14ac:dyDescent="0.3">
      <c r="A454" t="s">
        <v>482</v>
      </c>
      <c r="B454" t="s">
        <v>20</v>
      </c>
      <c r="C454" t="s">
        <v>21</v>
      </c>
      <c r="D454" t="s">
        <v>47</v>
      </c>
      <c r="E454">
        <v>107.84</v>
      </c>
      <c r="F454">
        <v>4</v>
      </c>
      <c r="G454">
        <v>431.36</v>
      </c>
      <c r="H454" s="1">
        <v>46282</v>
      </c>
      <c r="I454" t="s">
        <v>22</v>
      </c>
    </row>
    <row r="455" spans="1:9" x14ac:dyDescent="0.3">
      <c r="A455" t="s">
        <v>483</v>
      </c>
      <c r="B455" t="s">
        <v>24</v>
      </c>
      <c r="C455" t="s">
        <v>25</v>
      </c>
      <c r="D455" t="s">
        <v>33</v>
      </c>
      <c r="E455">
        <v>991.29</v>
      </c>
      <c r="F455">
        <v>3</v>
      </c>
      <c r="G455">
        <v>2973.87</v>
      </c>
      <c r="H455" s="1">
        <v>46316</v>
      </c>
      <c r="I455" t="s">
        <v>12</v>
      </c>
    </row>
    <row r="456" spans="1:9" x14ac:dyDescent="0.3">
      <c r="A456" t="s">
        <v>484</v>
      </c>
      <c r="B456" t="s">
        <v>24</v>
      </c>
      <c r="C456" t="s">
        <v>25</v>
      </c>
      <c r="D456" t="s">
        <v>31</v>
      </c>
      <c r="E456">
        <v>4954.79</v>
      </c>
      <c r="F456">
        <v>9</v>
      </c>
      <c r="G456">
        <v>44593.11</v>
      </c>
      <c r="H456" s="1">
        <v>46114</v>
      </c>
      <c r="I456" t="s">
        <v>22</v>
      </c>
    </row>
    <row r="457" spans="1:9" x14ac:dyDescent="0.3">
      <c r="A457" t="s">
        <v>485</v>
      </c>
      <c r="B457" t="s">
        <v>24</v>
      </c>
      <c r="C457" t="s">
        <v>25</v>
      </c>
      <c r="D457" t="s">
        <v>11</v>
      </c>
      <c r="E457">
        <v>58845.47</v>
      </c>
      <c r="F457">
        <v>1</v>
      </c>
      <c r="G457">
        <v>58845.47</v>
      </c>
      <c r="H457" s="1">
        <v>46117</v>
      </c>
      <c r="I457" t="s">
        <v>22</v>
      </c>
    </row>
    <row r="458" spans="1:9" x14ac:dyDescent="0.3">
      <c r="A458" t="s">
        <v>486</v>
      </c>
      <c r="B458" t="s">
        <v>29</v>
      </c>
      <c r="C458" t="s">
        <v>30</v>
      </c>
      <c r="D458" t="s">
        <v>31</v>
      </c>
      <c r="E458">
        <v>4690.95</v>
      </c>
      <c r="F458">
        <v>10</v>
      </c>
      <c r="G458">
        <v>46909.5</v>
      </c>
      <c r="H458" s="1">
        <v>46044</v>
      </c>
      <c r="I458" t="s">
        <v>22</v>
      </c>
    </row>
    <row r="459" spans="1:9" x14ac:dyDescent="0.3">
      <c r="A459" t="s">
        <v>487</v>
      </c>
      <c r="B459" t="s">
        <v>14</v>
      </c>
      <c r="C459" t="s">
        <v>15</v>
      </c>
      <c r="D459" t="s">
        <v>16</v>
      </c>
      <c r="E459">
        <v>10856.95</v>
      </c>
      <c r="F459">
        <v>3</v>
      </c>
      <c r="G459">
        <v>32570.85</v>
      </c>
      <c r="H459" s="1">
        <v>46243</v>
      </c>
      <c r="I459" t="s">
        <v>27</v>
      </c>
    </row>
    <row r="460" spans="1:9" x14ac:dyDescent="0.3">
      <c r="A460" t="s">
        <v>488</v>
      </c>
      <c r="B460" t="s">
        <v>9</v>
      </c>
      <c r="C460" t="s">
        <v>10</v>
      </c>
      <c r="D460" t="s">
        <v>33</v>
      </c>
      <c r="E460">
        <v>702.73</v>
      </c>
      <c r="F460">
        <v>2</v>
      </c>
      <c r="G460">
        <v>1405.46</v>
      </c>
      <c r="H460" s="1">
        <v>46305</v>
      </c>
      <c r="I460" t="s">
        <v>27</v>
      </c>
    </row>
    <row r="461" spans="1:9" x14ac:dyDescent="0.3">
      <c r="A461" t="s">
        <v>489</v>
      </c>
      <c r="B461" t="s">
        <v>20</v>
      </c>
      <c r="C461" t="s">
        <v>21</v>
      </c>
      <c r="D461" t="s">
        <v>31</v>
      </c>
      <c r="E461">
        <v>3969.64</v>
      </c>
      <c r="F461">
        <v>3</v>
      </c>
      <c r="G461">
        <v>11908.92</v>
      </c>
      <c r="H461" s="1">
        <v>46172</v>
      </c>
      <c r="I461" t="s">
        <v>22</v>
      </c>
    </row>
    <row r="462" spans="1:9" x14ac:dyDescent="0.3">
      <c r="A462" t="s">
        <v>490</v>
      </c>
      <c r="B462" t="s">
        <v>20</v>
      </c>
      <c r="C462" t="s">
        <v>21</v>
      </c>
      <c r="D462" t="s">
        <v>47</v>
      </c>
      <c r="E462">
        <v>3664.05</v>
      </c>
      <c r="F462">
        <v>4</v>
      </c>
      <c r="G462">
        <v>14656.2</v>
      </c>
      <c r="H462" s="1">
        <v>46081</v>
      </c>
      <c r="I462" t="s">
        <v>12</v>
      </c>
    </row>
    <row r="463" spans="1:9" x14ac:dyDescent="0.3">
      <c r="A463" t="s">
        <v>491</v>
      </c>
      <c r="B463" t="s">
        <v>24</v>
      </c>
      <c r="C463" t="s">
        <v>25</v>
      </c>
      <c r="D463" t="s">
        <v>16</v>
      </c>
      <c r="E463">
        <v>9537.83</v>
      </c>
      <c r="F463">
        <v>5</v>
      </c>
      <c r="G463">
        <v>47689.15</v>
      </c>
      <c r="H463" s="1">
        <v>46138</v>
      </c>
      <c r="I463" t="s">
        <v>22</v>
      </c>
    </row>
    <row r="464" spans="1:9" x14ac:dyDescent="0.3">
      <c r="A464" t="s">
        <v>492</v>
      </c>
      <c r="B464" t="s">
        <v>29</v>
      </c>
      <c r="C464" t="s">
        <v>30</v>
      </c>
      <c r="D464" t="s">
        <v>11</v>
      </c>
      <c r="E464">
        <v>1298.31</v>
      </c>
      <c r="F464">
        <v>3</v>
      </c>
      <c r="G464">
        <v>3894.93</v>
      </c>
      <c r="H464" s="1">
        <v>46170</v>
      </c>
      <c r="I464" t="s">
        <v>27</v>
      </c>
    </row>
    <row r="465" spans="1:9" x14ac:dyDescent="0.3">
      <c r="A465" t="s">
        <v>493</v>
      </c>
      <c r="B465" t="s">
        <v>38</v>
      </c>
      <c r="C465" t="s">
        <v>39</v>
      </c>
      <c r="D465" t="s">
        <v>31</v>
      </c>
      <c r="E465">
        <v>1476.59</v>
      </c>
      <c r="F465">
        <v>1</v>
      </c>
      <c r="G465">
        <v>1476.59</v>
      </c>
      <c r="H465" s="1">
        <v>46357</v>
      </c>
      <c r="I465" t="s">
        <v>22</v>
      </c>
    </row>
    <row r="466" spans="1:9" x14ac:dyDescent="0.3">
      <c r="A466" t="s">
        <v>494</v>
      </c>
      <c r="B466" t="s">
        <v>20</v>
      </c>
      <c r="C466" t="s">
        <v>21</v>
      </c>
      <c r="D466" t="s">
        <v>26</v>
      </c>
      <c r="E466">
        <v>37814.870000000003</v>
      </c>
      <c r="F466">
        <v>2</v>
      </c>
      <c r="G466">
        <v>75629.740000000005</v>
      </c>
      <c r="H466" s="1">
        <v>46068</v>
      </c>
      <c r="I466" t="s">
        <v>27</v>
      </c>
    </row>
    <row r="467" spans="1:9" x14ac:dyDescent="0.3">
      <c r="A467" t="s">
        <v>495</v>
      </c>
      <c r="B467" t="s">
        <v>20</v>
      </c>
      <c r="C467" t="s">
        <v>21</v>
      </c>
      <c r="D467" t="s">
        <v>26</v>
      </c>
      <c r="E467">
        <v>39858.019999999997</v>
      </c>
      <c r="F467">
        <v>3</v>
      </c>
      <c r="G467">
        <v>119574.06</v>
      </c>
      <c r="H467" s="1">
        <v>46148</v>
      </c>
      <c r="I467" t="s">
        <v>12</v>
      </c>
    </row>
    <row r="468" spans="1:9" x14ac:dyDescent="0.3">
      <c r="A468" t="s">
        <v>496</v>
      </c>
      <c r="B468" t="s">
        <v>20</v>
      </c>
      <c r="C468" t="s">
        <v>21</v>
      </c>
      <c r="D468" t="s">
        <v>16</v>
      </c>
      <c r="E468">
        <v>7550.66</v>
      </c>
      <c r="F468">
        <v>2</v>
      </c>
      <c r="G468">
        <v>15101.32</v>
      </c>
      <c r="H468" s="1">
        <v>46255</v>
      </c>
      <c r="I468" t="s">
        <v>12</v>
      </c>
    </row>
    <row r="469" spans="1:9" x14ac:dyDescent="0.3">
      <c r="A469" t="s">
        <v>497</v>
      </c>
      <c r="B469" t="s">
        <v>29</v>
      </c>
      <c r="C469" t="s">
        <v>30</v>
      </c>
      <c r="D469" t="s">
        <v>31</v>
      </c>
      <c r="E469">
        <v>1541.22</v>
      </c>
      <c r="F469">
        <v>8</v>
      </c>
      <c r="G469">
        <v>12329.76</v>
      </c>
      <c r="H469" s="1">
        <v>46109</v>
      </c>
      <c r="I469" t="s">
        <v>22</v>
      </c>
    </row>
    <row r="470" spans="1:9" x14ac:dyDescent="0.3">
      <c r="A470" t="s">
        <v>498</v>
      </c>
      <c r="B470" t="s">
        <v>24</v>
      </c>
      <c r="C470" t="s">
        <v>25</v>
      </c>
      <c r="D470" t="s">
        <v>26</v>
      </c>
      <c r="E470">
        <v>16207.77</v>
      </c>
      <c r="F470">
        <v>3</v>
      </c>
      <c r="G470">
        <v>48623.31</v>
      </c>
      <c r="H470" s="1">
        <v>46345</v>
      </c>
      <c r="I470" t="s">
        <v>22</v>
      </c>
    </row>
    <row r="471" spans="1:9" x14ac:dyDescent="0.3">
      <c r="A471" t="s">
        <v>499</v>
      </c>
      <c r="B471" t="s">
        <v>14</v>
      </c>
      <c r="C471" t="s">
        <v>15</v>
      </c>
      <c r="D471" t="s">
        <v>11</v>
      </c>
      <c r="E471">
        <v>72533.89</v>
      </c>
      <c r="F471">
        <v>1</v>
      </c>
      <c r="G471">
        <v>72533.89</v>
      </c>
      <c r="H471" s="1">
        <v>46354</v>
      </c>
      <c r="I471" t="s">
        <v>17</v>
      </c>
    </row>
    <row r="472" spans="1:9" x14ac:dyDescent="0.3">
      <c r="A472" t="s">
        <v>500</v>
      </c>
      <c r="B472" t="s">
        <v>14</v>
      </c>
      <c r="C472" t="s">
        <v>15</v>
      </c>
      <c r="D472" t="s">
        <v>33</v>
      </c>
      <c r="E472">
        <v>8952.48</v>
      </c>
      <c r="F472">
        <v>3</v>
      </c>
      <c r="G472">
        <v>26857.439999999999</v>
      </c>
      <c r="H472" s="1">
        <v>46161</v>
      </c>
      <c r="I472" t="s">
        <v>17</v>
      </c>
    </row>
    <row r="473" spans="1:9" x14ac:dyDescent="0.3">
      <c r="A473" t="s">
        <v>501</v>
      </c>
      <c r="B473" t="s">
        <v>14</v>
      </c>
      <c r="C473" t="s">
        <v>15</v>
      </c>
      <c r="D473" t="s">
        <v>11</v>
      </c>
      <c r="E473">
        <v>33976.720000000001</v>
      </c>
      <c r="F473">
        <v>1</v>
      </c>
      <c r="G473">
        <v>33976.720000000001</v>
      </c>
      <c r="H473" s="1">
        <v>46295</v>
      </c>
      <c r="I473" t="s">
        <v>12</v>
      </c>
    </row>
    <row r="474" spans="1:9" x14ac:dyDescent="0.3">
      <c r="A474" t="s">
        <v>502</v>
      </c>
      <c r="B474" t="s">
        <v>24</v>
      </c>
      <c r="C474" t="s">
        <v>25</v>
      </c>
      <c r="D474" t="s">
        <v>11</v>
      </c>
      <c r="E474">
        <v>41783.089999999997</v>
      </c>
      <c r="F474">
        <v>2</v>
      </c>
      <c r="G474">
        <v>83566.179999999993</v>
      </c>
      <c r="H474" s="1">
        <v>46298</v>
      </c>
      <c r="I474" t="s">
        <v>12</v>
      </c>
    </row>
    <row r="475" spans="1:9" x14ac:dyDescent="0.3">
      <c r="A475" t="s">
        <v>503</v>
      </c>
      <c r="B475" t="s">
        <v>24</v>
      </c>
      <c r="C475" t="s">
        <v>25</v>
      </c>
      <c r="D475" t="s">
        <v>16</v>
      </c>
      <c r="E475">
        <v>5091.18</v>
      </c>
      <c r="F475">
        <v>2</v>
      </c>
      <c r="G475">
        <v>10182.36</v>
      </c>
      <c r="H475" s="1">
        <v>46271</v>
      </c>
      <c r="I475" t="s">
        <v>17</v>
      </c>
    </row>
    <row r="476" spans="1:9" x14ac:dyDescent="0.3">
      <c r="A476" t="s">
        <v>504</v>
      </c>
      <c r="B476" t="s">
        <v>38</v>
      </c>
      <c r="C476" t="s">
        <v>39</v>
      </c>
      <c r="D476" t="s">
        <v>16</v>
      </c>
      <c r="E476">
        <v>6766.26</v>
      </c>
      <c r="F476">
        <v>5</v>
      </c>
      <c r="G476">
        <v>33831.300000000003</v>
      </c>
      <c r="H476" s="1">
        <v>46091</v>
      </c>
      <c r="I476" t="s">
        <v>17</v>
      </c>
    </row>
    <row r="477" spans="1:9" x14ac:dyDescent="0.3">
      <c r="A477" t="s">
        <v>505</v>
      </c>
      <c r="B477" t="s">
        <v>38</v>
      </c>
      <c r="C477" t="s">
        <v>39</v>
      </c>
      <c r="D477" t="s">
        <v>16</v>
      </c>
      <c r="E477">
        <v>5358.32</v>
      </c>
      <c r="F477">
        <v>5</v>
      </c>
      <c r="G477">
        <v>26791.599999999999</v>
      </c>
      <c r="H477" s="1">
        <v>46041</v>
      </c>
      <c r="I477" t="s">
        <v>27</v>
      </c>
    </row>
    <row r="478" spans="1:9" x14ac:dyDescent="0.3">
      <c r="A478" t="s">
        <v>506</v>
      </c>
      <c r="B478" t="s">
        <v>14</v>
      </c>
      <c r="C478" t="s">
        <v>15</v>
      </c>
      <c r="D478" t="s">
        <v>16</v>
      </c>
      <c r="E478">
        <v>9972.56</v>
      </c>
      <c r="F478">
        <v>3</v>
      </c>
      <c r="G478">
        <v>29917.68</v>
      </c>
      <c r="H478" s="1">
        <v>46149</v>
      </c>
      <c r="I478" t="s">
        <v>27</v>
      </c>
    </row>
    <row r="479" spans="1:9" x14ac:dyDescent="0.3">
      <c r="A479" t="s">
        <v>507</v>
      </c>
      <c r="B479" t="s">
        <v>20</v>
      </c>
      <c r="C479" t="s">
        <v>21</v>
      </c>
      <c r="D479" t="s">
        <v>33</v>
      </c>
      <c r="E479">
        <v>18208.310000000001</v>
      </c>
      <c r="F479">
        <v>3</v>
      </c>
      <c r="G479">
        <v>54624.93</v>
      </c>
      <c r="H479" s="1">
        <v>46070</v>
      </c>
      <c r="I479" t="s">
        <v>27</v>
      </c>
    </row>
    <row r="480" spans="1:9" x14ac:dyDescent="0.3">
      <c r="A480" t="s">
        <v>508</v>
      </c>
      <c r="B480" t="s">
        <v>20</v>
      </c>
      <c r="C480" t="s">
        <v>21</v>
      </c>
      <c r="D480" t="s">
        <v>16</v>
      </c>
      <c r="E480">
        <v>11205.69</v>
      </c>
      <c r="F480">
        <v>4</v>
      </c>
      <c r="G480">
        <v>44822.76</v>
      </c>
      <c r="H480" s="1">
        <v>46129</v>
      </c>
      <c r="I480" t="s">
        <v>17</v>
      </c>
    </row>
    <row r="481" spans="1:9" x14ac:dyDescent="0.3">
      <c r="A481" t="s">
        <v>509</v>
      </c>
      <c r="B481" t="s">
        <v>14</v>
      </c>
      <c r="C481" t="s">
        <v>15</v>
      </c>
      <c r="D481" t="s">
        <v>16</v>
      </c>
      <c r="E481">
        <v>6902.27</v>
      </c>
      <c r="F481">
        <v>4</v>
      </c>
      <c r="G481">
        <v>27609.08</v>
      </c>
      <c r="H481" s="1">
        <v>46255</v>
      </c>
      <c r="I481" t="s">
        <v>12</v>
      </c>
    </row>
    <row r="482" spans="1:9" x14ac:dyDescent="0.3">
      <c r="A482" t="s">
        <v>510</v>
      </c>
      <c r="B482" t="s">
        <v>14</v>
      </c>
      <c r="C482" t="s">
        <v>15</v>
      </c>
      <c r="D482" t="s">
        <v>16</v>
      </c>
      <c r="E482">
        <v>5473.14</v>
      </c>
      <c r="F482">
        <v>4</v>
      </c>
      <c r="G482">
        <v>21892.560000000001</v>
      </c>
      <c r="H482" s="1">
        <v>46237</v>
      </c>
      <c r="I482" t="s">
        <v>17</v>
      </c>
    </row>
    <row r="483" spans="1:9" x14ac:dyDescent="0.3">
      <c r="A483" t="s">
        <v>511</v>
      </c>
      <c r="B483" t="s">
        <v>24</v>
      </c>
      <c r="C483" t="s">
        <v>25</v>
      </c>
      <c r="D483" t="s">
        <v>11</v>
      </c>
      <c r="E483">
        <v>53128.81</v>
      </c>
      <c r="F483">
        <v>3</v>
      </c>
      <c r="G483">
        <v>159386.43</v>
      </c>
      <c r="H483" s="1">
        <v>46099</v>
      </c>
      <c r="I483" t="s">
        <v>27</v>
      </c>
    </row>
    <row r="484" spans="1:9" x14ac:dyDescent="0.3">
      <c r="A484" t="s">
        <v>512</v>
      </c>
      <c r="B484" t="s">
        <v>20</v>
      </c>
      <c r="C484" t="s">
        <v>21</v>
      </c>
      <c r="D484" t="s">
        <v>26</v>
      </c>
      <c r="E484">
        <v>42077.86</v>
      </c>
      <c r="F484">
        <v>3</v>
      </c>
      <c r="G484">
        <v>126233.58</v>
      </c>
      <c r="H484" s="1">
        <v>46029</v>
      </c>
      <c r="I484" t="s">
        <v>27</v>
      </c>
    </row>
    <row r="485" spans="1:9" x14ac:dyDescent="0.3">
      <c r="A485" t="s">
        <v>513</v>
      </c>
      <c r="B485" t="s">
        <v>38</v>
      </c>
      <c r="C485" t="s">
        <v>39</v>
      </c>
      <c r="D485" t="s">
        <v>31</v>
      </c>
      <c r="E485">
        <v>2836.76</v>
      </c>
      <c r="F485">
        <v>9</v>
      </c>
      <c r="G485">
        <v>25530.84</v>
      </c>
      <c r="H485" s="1">
        <v>46105</v>
      </c>
      <c r="I485" t="s">
        <v>17</v>
      </c>
    </row>
    <row r="486" spans="1:9" x14ac:dyDescent="0.3">
      <c r="A486" t="s">
        <v>514</v>
      </c>
      <c r="B486" t="s">
        <v>24</v>
      </c>
      <c r="C486" t="s">
        <v>25</v>
      </c>
      <c r="D486" t="s">
        <v>26</v>
      </c>
      <c r="E486">
        <v>35299.07</v>
      </c>
      <c r="F486">
        <v>1</v>
      </c>
      <c r="G486">
        <v>35299.07</v>
      </c>
      <c r="H486" s="1">
        <v>46189</v>
      </c>
      <c r="I486" t="s">
        <v>12</v>
      </c>
    </row>
    <row r="487" spans="1:9" x14ac:dyDescent="0.3">
      <c r="A487" t="s">
        <v>515</v>
      </c>
      <c r="B487" t="s">
        <v>14</v>
      </c>
      <c r="C487" t="s">
        <v>15</v>
      </c>
      <c r="D487" t="s">
        <v>11</v>
      </c>
      <c r="E487">
        <v>56429.919999999998</v>
      </c>
      <c r="F487">
        <v>2</v>
      </c>
      <c r="G487">
        <v>112859.84</v>
      </c>
      <c r="H487" s="1">
        <v>46307</v>
      </c>
      <c r="I487" t="s">
        <v>17</v>
      </c>
    </row>
    <row r="488" spans="1:9" x14ac:dyDescent="0.3">
      <c r="A488" t="s">
        <v>516</v>
      </c>
      <c r="B488" t="s">
        <v>14</v>
      </c>
      <c r="C488" t="s">
        <v>15</v>
      </c>
      <c r="D488" t="s">
        <v>33</v>
      </c>
      <c r="E488">
        <v>13624.96</v>
      </c>
      <c r="F488">
        <v>2</v>
      </c>
      <c r="G488">
        <v>27249.919999999998</v>
      </c>
      <c r="H488" s="1">
        <v>46156</v>
      </c>
      <c r="I488" t="s">
        <v>12</v>
      </c>
    </row>
    <row r="489" spans="1:9" x14ac:dyDescent="0.3">
      <c r="A489" t="s">
        <v>517</v>
      </c>
      <c r="B489" t="s">
        <v>38</v>
      </c>
      <c r="C489" t="s">
        <v>39</v>
      </c>
      <c r="D489" t="s">
        <v>16</v>
      </c>
      <c r="E489">
        <v>9029.76</v>
      </c>
      <c r="F489">
        <v>3</v>
      </c>
      <c r="G489">
        <v>27089.279999999999</v>
      </c>
      <c r="H489" s="1">
        <v>46127</v>
      </c>
      <c r="I489" t="s">
        <v>12</v>
      </c>
    </row>
    <row r="490" spans="1:9" x14ac:dyDescent="0.3">
      <c r="A490" t="s">
        <v>518</v>
      </c>
      <c r="B490" t="s">
        <v>20</v>
      </c>
      <c r="C490" t="s">
        <v>21</v>
      </c>
      <c r="D490" t="s">
        <v>33</v>
      </c>
      <c r="E490">
        <v>4410.3100000000004</v>
      </c>
      <c r="F490">
        <v>3</v>
      </c>
      <c r="G490">
        <v>13230.93</v>
      </c>
      <c r="H490" s="1">
        <v>46224</v>
      </c>
      <c r="I490" t="s">
        <v>27</v>
      </c>
    </row>
    <row r="491" spans="1:9" x14ac:dyDescent="0.3">
      <c r="A491" t="s">
        <v>519</v>
      </c>
      <c r="B491" t="s">
        <v>14</v>
      </c>
      <c r="C491" t="s">
        <v>15</v>
      </c>
      <c r="D491" t="s">
        <v>16</v>
      </c>
      <c r="E491">
        <v>6130.98</v>
      </c>
      <c r="F491">
        <v>4</v>
      </c>
      <c r="G491">
        <v>24523.919999999998</v>
      </c>
      <c r="H491" s="1">
        <v>46049</v>
      </c>
      <c r="I491" t="s">
        <v>22</v>
      </c>
    </row>
    <row r="492" spans="1:9" x14ac:dyDescent="0.3">
      <c r="A492" t="s">
        <v>520</v>
      </c>
      <c r="B492" t="s">
        <v>20</v>
      </c>
      <c r="C492" t="s">
        <v>21</v>
      </c>
      <c r="D492" t="s">
        <v>11</v>
      </c>
      <c r="E492">
        <v>44449.53</v>
      </c>
      <c r="F492">
        <v>2</v>
      </c>
      <c r="G492">
        <v>88899.06</v>
      </c>
      <c r="H492" s="1">
        <v>46105</v>
      </c>
      <c r="I492" t="s">
        <v>12</v>
      </c>
    </row>
    <row r="493" spans="1:9" x14ac:dyDescent="0.3">
      <c r="A493" t="s">
        <v>521</v>
      </c>
      <c r="B493" t="s">
        <v>20</v>
      </c>
      <c r="C493" t="s">
        <v>21</v>
      </c>
      <c r="D493" t="s">
        <v>47</v>
      </c>
      <c r="E493">
        <v>119.58</v>
      </c>
      <c r="F493">
        <v>2</v>
      </c>
      <c r="G493">
        <v>239.16</v>
      </c>
      <c r="H493" s="1">
        <v>46036</v>
      </c>
      <c r="I493" t="s">
        <v>17</v>
      </c>
    </row>
    <row r="494" spans="1:9" x14ac:dyDescent="0.3">
      <c r="A494" t="s">
        <v>522</v>
      </c>
      <c r="B494" t="s">
        <v>20</v>
      </c>
      <c r="C494" t="s">
        <v>21</v>
      </c>
      <c r="D494" t="s">
        <v>26</v>
      </c>
      <c r="E494">
        <v>42942.16</v>
      </c>
      <c r="F494">
        <v>2</v>
      </c>
      <c r="G494">
        <v>85884.32</v>
      </c>
      <c r="H494" s="1">
        <v>46214</v>
      </c>
      <c r="I494" t="s">
        <v>27</v>
      </c>
    </row>
    <row r="495" spans="1:9" x14ac:dyDescent="0.3">
      <c r="A495" t="s">
        <v>523</v>
      </c>
      <c r="B495" t="s">
        <v>38</v>
      </c>
      <c r="C495" t="s">
        <v>39</v>
      </c>
      <c r="D495" t="s">
        <v>47</v>
      </c>
      <c r="E495">
        <v>4919.1899999999996</v>
      </c>
      <c r="F495">
        <v>5</v>
      </c>
      <c r="G495">
        <v>24595.95</v>
      </c>
      <c r="H495" s="1">
        <v>46184</v>
      </c>
      <c r="I495" t="s">
        <v>12</v>
      </c>
    </row>
    <row r="496" spans="1:9" x14ac:dyDescent="0.3">
      <c r="A496" t="s">
        <v>524</v>
      </c>
      <c r="B496" t="s">
        <v>9</v>
      </c>
      <c r="C496" t="s">
        <v>10</v>
      </c>
      <c r="D496" t="s">
        <v>16</v>
      </c>
      <c r="E496">
        <v>1810.9</v>
      </c>
      <c r="F496">
        <v>2</v>
      </c>
      <c r="G496">
        <v>3621.8</v>
      </c>
      <c r="H496" s="1">
        <v>46235</v>
      </c>
      <c r="I496" t="s">
        <v>12</v>
      </c>
    </row>
    <row r="497" spans="1:9" x14ac:dyDescent="0.3">
      <c r="A497" t="s">
        <v>525</v>
      </c>
      <c r="B497" t="s">
        <v>14</v>
      </c>
      <c r="C497" t="s">
        <v>15</v>
      </c>
      <c r="D497" t="s">
        <v>26</v>
      </c>
      <c r="E497">
        <v>41001.5</v>
      </c>
      <c r="F497">
        <v>1</v>
      </c>
      <c r="G497">
        <v>41001.5</v>
      </c>
      <c r="H497" s="1">
        <v>46248</v>
      </c>
      <c r="I497" t="s">
        <v>22</v>
      </c>
    </row>
    <row r="498" spans="1:9" x14ac:dyDescent="0.3">
      <c r="A498" t="s">
        <v>526</v>
      </c>
      <c r="B498" t="s">
        <v>14</v>
      </c>
      <c r="C498" t="s">
        <v>15</v>
      </c>
      <c r="D498" t="s">
        <v>47</v>
      </c>
      <c r="E498">
        <v>5764.75</v>
      </c>
      <c r="F498">
        <v>5</v>
      </c>
      <c r="G498">
        <v>28823.75</v>
      </c>
      <c r="H498" s="1">
        <v>46167</v>
      </c>
      <c r="I498" t="s">
        <v>22</v>
      </c>
    </row>
    <row r="499" spans="1:9" x14ac:dyDescent="0.3">
      <c r="A499" t="s">
        <v>527</v>
      </c>
      <c r="B499" t="s">
        <v>20</v>
      </c>
      <c r="C499" t="s">
        <v>21</v>
      </c>
      <c r="D499" t="s">
        <v>26</v>
      </c>
      <c r="E499">
        <v>38156.68</v>
      </c>
      <c r="F499">
        <v>1</v>
      </c>
      <c r="G499">
        <v>38156.68</v>
      </c>
      <c r="H499" s="1">
        <v>46340</v>
      </c>
      <c r="I499" t="s">
        <v>27</v>
      </c>
    </row>
    <row r="500" spans="1:9" x14ac:dyDescent="0.3">
      <c r="A500" t="s">
        <v>528</v>
      </c>
      <c r="B500" t="s">
        <v>38</v>
      </c>
      <c r="C500" t="s">
        <v>39</v>
      </c>
      <c r="D500" t="s">
        <v>31</v>
      </c>
      <c r="E500">
        <v>1990.61</v>
      </c>
      <c r="F500">
        <v>7</v>
      </c>
      <c r="G500">
        <v>13934.27</v>
      </c>
      <c r="H500" s="1">
        <v>46358</v>
      </c>
      <c r="I500" t="s">
        <v>12</v>
      </c>
    </row>
    <row r="501" spans="1:9" x14ac:dyDescent="0.3">
      <c r="A501" t="s">
        <v>529</v>
      </c>
      <c r="B501" t="s">
        <v>14</v>
      </c>
      <c r="C501" t="s">
        <v>15</v>
      </c>
      <c r="D501" t="s">
        <v>26</v>
      </c>
      <c r="E501">
        <v>42855.92</v>
      </c>
      <c r="F501">
        <v>3</v>
      </c>
      <c r="G501">
        <v>128567.76</v>
      </c>
      <c r="H501" s="1">
        <v>46063</v>
      </c>
      <c r="I501" t="s">
        <v>17</v>
      </c>
    </row>
    <row r="502" spans="1:9" x14ac:dyDescent="0.3">
      <c r="A502" t="s">
        <v>530</v>
      </c>
      <c r="B502" t="s">
        <v>9</v>
      </c>
      <c r="C502" t="s">
        <v>10</v>
      </c>
      <c r="D502" t="s">
        <v>26</v>
      </c>
      <c r="E502">
        <v>21287.35</v>
      </c>
      <c r="F502">
        <v>1</v>
      </c>
      <c r="G502">
        <v>21287.35</v>
      </c>
      <c r="H502" s="1">
        <v>46358</v>
      </c>
      <c r="I502" t="s">
        <v>27</v>
      </c>
    </row>
    <row r="503" spans="1:9" x14ac:dyDescent="0.3">
      <c r="A503" t="s">
        <v>531</v>
      </c>
      <c r="B503" t="s">
        <v>29</v>
      </c>
      <c r="C503" t="s">
        <v>30</v>
      </c>
      <c r="D503" t="s">
        <v>33</v>
      </c>
      <c r="E503">
        <v>11539.03</v>
      </c>
      <c r="F503">
        <v>2</v>
      </c>
      <c r="G503">
        <v>23078.06</v>
      </c>
      <c r="H503" s="1">
        <v>46094</v>
      </c>
      <c r="I503" t="s">
        <v>22</v>
      </c>
    </row>
    <row r="504" spans="1:9" x14ac:dyDescent="0.3">
      <c r="A504" t="s">
        <v>532</v>
      </c>
      <c r="B504" t="s">
        <v>29</v>
      </c>
      <c r="C504" t="s">
        <v>30</v>
      </c>
      <c r="D504" t="s">
        <v>31</v>
      </c>
      <c r="E504">
        <v>53.18</v>
      </c>
      <c r="F504">
        <v>3</v>
      </c>
      <c r="G504">
        <v>159.54</v>
      </c>
      <c r="H504" s="1">
        <v>46113</v>
      </c>
      <c r="I504" t="s">
        <v>12</v>
      </c>
    </row>
    <row r="505" spans="1:9" x14ac:dyDescent="0.3">
      <c r="A505" t="s">
        <v>533</v>
      </c>
      <c r="B505" t="s">
        <v>14</v>
      </c>
      <c r="C505" t="s">
        <v>15</v>
      </c>
      <c r="D505" t="s">
        <v>16</v>
      </c>
      <c r="E505">
        <v>7845.02</v>
      </c>
      <c r="F505">
        <v>1</v>
      </c>
      <c r="G505">
        <v>7845.02</v>
      </c>
      <c r="H505" s="1">
        <v>46216</v>
      </c>
      <c r="I505" t="s">
        <v>12</v>
      </c>
    </row>
    <row r="506" spans="1:9" x14ac:dyDescent="0.3">
      <c r="A506" t="s">
        <v>534</v>
      </c>
      <c r="B506" t="s">
        <v>14</v>
      </c>
      <c r="C506" t="s">
        <v>15</v>
      </c>
      <c r="D506" t="s">
        <v>47</v>
      </c>
      <c r="E506">
        <v>5773.59</v>
      </c>
      <c r="F506">
        <v>1</v>
      </c>
      <c r="G506">
        <v>5773.59</v>
      </c>
      <c r="H506" s="1">
        <v>46033</v>
      </c>
      <c r="I506" t="s">
        <v>27</v>
      </c>
    </row>
    <row r="507" spans="1:9" x14ac:dyDescent="0.3">
      <c r="A507" t="s">
        <v>535</v>
      </c>
      <c r="B507" t="s">
        <v>9</v>
      </c>
      <c r="C507" t="s">
        <v>10</v>
      </c>
      <c r="D507" t="s">
        <v>16</v>
      </c>
      <c r="E507">
        <v>6935.18</v>
      </c>
      <c r="F507">
        <v>1</v>
      </c>
      <c r="G507">
        <v>6935.18</v>
      </c>
      <c r="H507" s="1">
        <v>46155</v>
      </c>
      <c r="I507" t="s">
        <v>27</v>
      </c>
    </row>
    <row r="508" spans="1:9" x14ac:dyDescent="0.3">
      <c r="A508" t="s">
        <v>536</v>
      </c>
      <c r="B508" t="s">
        <v>38</v>
      </c>
      <c r="C508" t="s">
        <v>39</v>
      </c>
      <c r="D508" t="s">
        <v>47</v>
      </c>
      <c r="E508">
        <v>4022.81</v>
      </c>
      <c r="F508">
        <v>3</v>
      </c>
      <c r="G508">
        <v>12068.43</v>
      </c>
      <c r="H508" s="1">
        <v>46094</v>
      </c>
      <c r="I508" t="s">
        <v>12</v>
      </c>
    </row>
    <row r="509" spans="1:9" x14ac:dyDescent="0.3">
      <c r="A509" t="s">
        <v>537</v>
      </c>
      <c r="B509" t="s">
        <v>9</v>
      </c>
      <c r="C509" t="s">
        <v>10</v>
      </c>
      <c r="D509" t="s">
        <v>16</v>
      </c>
      <c r="E509">
        <v>9776.26</v>
      </c>
      <c r="F509">
        <v>3</v>
      </c>
      <c r="G509">
        <v>29328.78</v>
      </c>
      <c r="H509" s="1">
        <v>46199</v>
      </c>
      <c r="I509" t="s">
        <v>12</v>
      </c>
    </row>
    <row r="510" spans="1:9" x14ac:dyDescent="0.3">
      <c r="A510" t="s">
        <v>538</v>
      </c>
      <c r="B510" t="s">
        <v>14</v>
      </c>
      <c r="C510" t="s">
        <v>15</v>
      </c>
      <c r="D510" t="s">
        <v>11</v>
      </c>
      <c r="E510">
        <v>51357.86</v>
      </c>
      <c r="F510">
        <v>1</v>
      </c>
      <c r="G510">
        <v>51357.86</v>
      </c>
      <c r="H510" s="1">
        <v>46320</v>
      </c>
      <c r="I510" t="s">
        <v>22</v>
      </c>
    </row>
    <row r="511" spans="1:9" x14ac:dyDescent="0.3">
      <c r="A511" t="s">
        <v>539</v>
      </c>
      <c r="B511" t="s">
        <v>24</v>
      </c>
      <c r="C511" t="s">
        <v>25</v>
      </c>
      <c r="D511" t="s">
        <v>47</v>
      </c>
      <c r="E511">
        <v>2296.7800000000002</v>
      </c>
      <c r="F511">
        <v>5</v>
      </c>
      <c r="G511">
        <v>11483.9</v>
      </c>
      <c r="H511" s="1">
        <v>46360</v>
      </c>
      <c r="I511" t="s">
        <v>22</v>
      </c>
    </row>
    <row r="512" spans="1:9" x14ac:dyDescent="0.3">
      <c r="A512" t="s">
        <v>540</v>
      </c>
      <c r="B512" t="s">
        <v>24</v>
      </c>
      <c r="C512" t="s">
        <v>25</v>
      </c>
      <c r="D512" t="s">
        <v>11</v>
      </c>
      <c r="E512">
        <v>71963.240000000005</v>
      </c>
      <c r="F512">
        <v>3</v>
      </c>
      <c r="G512">
        <v>215889.72</v>
      </c>
      <c r="H512" s="1">
        <v>46100</v>
      </c>
      <c r="I512" t="s">
        <v>17</v>
      </c>
    </row>
    <row r="513" spans="1:9" x14ac:dyDescent="0.3">
      <c r="A513" t="s">
        <v>541</v>
      </c>
      <c r="B513" t="s">
        <v>9</v>
      </c>
      <c r="C513" t="s">
        <v>10</v>
      </c>
      <c r="D513" t="s">
        <v>11</v>
      </c>
      <c r="E513">
        <v>53279.23</v>
      </c>
      <c r="F513">
        <v>1</v>
      </c>
      <c r="G513">
        <v>53279.23</v>
      </c>
      <c r="H513" s="1">
        <v>46221</v>
      </c>
      <c r="I513" t="s">
        <v>17</v>
      </c>
    </row>
    <row r="514" spans="1:9" x14ac:dyDescent="0.3">
      <c r="A514" t="s">
        <v>542</v>
      </c>
      <c r="B514" t="s">
        <v>24</v>
      </c>
      <c r="C514" t="s">
        <v>25</v>
      </c>
      <c r="D514" t="s">
        <v>26</v>
      </c>
      <c r="E514">
        <v>49409.01</v>
      </c>
      <c r="F514">
        <v>3</v>
      </c>
      <c r="G514">
        <v>148227.03</v>
      </c>
      <c r="H514" s="1">
        <v>46196</v>
      </c>
      <c r="I514" t="s">
        <v>27</v>
      </c>
    </row>
    <row r="515" spans="1:9" x14ac:dyDescent="0.3">
      <c r="A515" t="s">
        <v>543</v>
      </c>
      <c r="B515" t="s">
        <v>38</v>
      </c>
      <c r="C515" t="s">
        <v>39</v>
      </c>
      <c r="D515" t="s">
        <v>47</v>
      </c>
      <c r="E515">
        <v>7772.96</v>
      </c>
      <c r="F515">
        <v>1</v>
      </c>
      <c r="G515">
        <v>7772.96</v>
      </c>
      <c r="H515" s="1">
        <v>46174</v>
      </c>
      <c r="I515" t="s">
        <v>27</v>
      </c>
    </row>
    <row r="516" spans="1:9" x14ac:dyDescent="0.3">
      <c r="A516" t="s">
        <v>544</v>
      </c>
      <c r="B516" t="s">
        <v>38</v>
      </c>
      <c r="C516" t="s">
        <v>39</v>
      </c>
      <c r="D516" t="s">
        <v>33</v>
      </c>
      <c r="E516">
        <v>18402.52</v>
      </c>
      <c r="F516">
        <v>3</v>
      </c>
      <c r="G516">
        <v>55207.56</v>
      </c>
      <c r="H516" s="1">
        <v>46253</v>
      </c>
      <c r="I516" t="s">
        <v>27</v>
      </c>
    </row>
    <row r="517" spans="1:9" x14ac:dyDescent="0.3">
      <c r="A517" t="s">
        <v>545</v>
      </c>
      <c r="B517" t="s">
        <v>24</v>
      </c>
      <c r="C517" t="s">
        <v>25</v>
      </c>
      <c r="D517" t="s">
        <v>31</v>
      </c>
      <c r="E517">
        <v>3789.09</v>
      </c>
      <c r="F517">
        <v>5</v>
      </c>
      <c r="G517">
        <v>18945.45</v>
      </c>
      <c r="H517" s="1">
        <v>46384</v>
      </c>
      <c r="I517" t="s">
        <v>12</v>
      </c>
    </row>
    <row r="518" spans="1:9" x14ac:dyDescent="0.3">
      <c r="A518" t="s">
        <v>546</v>
      </c>
      <c r="B518" t="s">
        <v>38</v>
      </c>
      <c r="C518" t="s">
        <v>39</v>
      </c>
      <c r="D518" t="s">
        <v>11</v>
      </c>
      <c r="E518">
        <v>46019.66</v>
      </c>
      <c r="F518">
        <v>2</v>
      </c>
      <c r="G518">
        <v>92039.32</v>
      </c>
      <c r="H518" s="1">
        <v>46170</v>
      </c>
      <c r="I518" t="s">
        <v>27</v>
      </c>
    </row>
    <row r="519" spans="1:9" x14ac:dyDescent="0.3">
      <c r="A519" t="s">
        <v>547</v>
      </c>
      <c r="B519" t="s">
        <v>9</v>
      </c>
      <c r="C519" t="s">
        <v>10</v>
      </c>
      <c r="D519" t="s">
        <v>33</v>
      </c>
      <c r="E519">
        <v>3691.76</v>
      </c>
      <c r="F519">
        <v>4</v>
      </c>
      <c r="G519">
        <v>14767.04</v>
      </c>
      <c r="H519" s="1">
        <v>46046</v>
      </c>
      <c r="I519" t="s">
        <v>27</v>
      </c>
    </row>
    <row r="520" spans="1:9" x14ac:dyDescent="0.3">
      <c r="A520" t="s">
        <v>548</v>
      </c>
      <c r="B520" t="s">
        <v>24</v>
      </c>
      <c r="C520" t="s">
        <v>25</v>
      </c>
      <c r="D520" t="s">
        <v>11</v>
      </c>
      <c r="E520">
        <v>41116.68</v>
      </c>
      <c r="F520">
        <v>3</v>
      </c>
      <c r="G520">
        <v>123350.04</v>
      </c>
      <c r="H520" s="1">
        <v>46357</v>
      </c>
      <c r="I520" t="s">
        <v>22</v>
      </c>
    </row>
    <row r="521" spans="1:9" x14ac:dyDescent="0.3">
      <c r="A521" t="s">
        <v>549</v>
      </c>
      <c r="B521" t="s">
        <v>9</v>
      </c>
      <c r="C521" t="s">
        <v>10</v>
      </c>
      <c r="D521" t="s">
        <v>11</v>
      </c>
      <c r="E521">
        <v>57590.94</v>
      </c>
      <c r="F521">
        <v>1</v>
      </c>
      <c r="G521">
        <v>57590.94</v>
      </c>
      <c r="H521" s="1">
        <v>46363</v>
      </c>
      <c r="I521" t="s">
        <v>27</v>
      </c>
    </row>
    <row r="522" spans="1:9" x14ac:dyDescent="0.3">
      <c r="A522" t="s">
        <v>550</v>
      </c>
      <c r="B522" t="s">
        <v>9</v>
      </c>
      <c r="C522" t="s">
        <v>10</v>
      </c>
      <c r="D522" t="s">
        <v>31</v>
      </c>
      <c r="E522">
        <v>2628.24</v>
      </c>
      <c r="F522">
        <v>6</v>
      </c>
      <c r="G522">
        <v>15769.44</v>
      </c>
      <c r="H522" s="1">
        <v>46140</v>
      </c>
      <c r="I522" t="s">
        <v>27</v>
      </c>
    </row>
    <row r="523" spans="1:9" x14ac:dyDescent="0.3">
      <c r="A523" t="s">
        <v>551</v>
      </c>
      <c r="B523" t="s">
        <v>38</v>
      </c>
      <c r="C523" t="s">
        <v>39</v>
      </c>
      <c r="D523" t="s">
        <v>16</v>
      </c>
      <c r="E523">
        <v>10458.4</v>
      </c>
      <c r="F523">
        <v>5</v>
      </c>
      <c r="G523">
        <v>52292</v>
      </c>
      <c r="H523" s="1">
        <v>46206</v>
      </c>
      <c r="I523" t="s">
        <v>22</v>
      </c>
    </row>
    <row r="524" spans="1:9" x14ac:dyDescent="0.3">
      <c r="A524" t="s">
        <v>552</v>
      </c>
      <c r="B524" t="s">
        <v>24</v>
      </c>
      <c r="C524" t="s">
        <v>25</v>
      </c>
      <c r="D524" t="s">
        <v>33</v>
      </c>
      <c r="E524">
        <v>2460.2199999999998</v>
      </c>
      <c r="F524">
        <v>3</v>
      </c>
      <c r="G524">
        <v>7380.66</v>
      </c>
      <c r="H524" s="1">
        <v>46337</v>
      </c>
      <c r="I524" t="s">
        <v>17</v>
      </c>
    </row>
    <row r="525" spans="1:9" x14ac:dyDescent="0.3">
      <c r="A525" t="s">
        <v>553</v>
      </c>
      <c r="B525" t="s">
        <v>20</v>
      </c>
      <c r="C525" t="s">
        <v>21</v>
      </c>
      <c r="D525" t="s">
        <v>47</v>
      </c>
      <c r="E525">
        <v>3109.43</v>
      </c>
      <c r="F525">
        <v>5</v>
      </c>
      <c r="G525">
        <v>15547.15</v>
      </c>
      <c r="H525" s="1">
        <v>46206</v>
      </c>
      <c r="I525" t="s">
        <v>22</v>
      </c>
    </row>
    <row r="526" spans="1:9" x14ac:dyDescent="0.3">
      <c r="A526" t="s">
        <v>554</v>
      </c>
      <c r="B526" t="s">
        <v>24</v>
      </c>
      <c r="C526" t="s">
        <v>25</v>
      </c>
      <c r="D526" t="s">
        <v>26</v>
      </c>
      <c r="E526">
        <v>25792.26</v>
      </c>
      <c r="F526">
        <v>2</v>
      </c>
      <c r="G526">
        <v>51584.52</v>
      </c>
      <c r="H526" s="1">
        <v>46198</v>
      </c>
      <c r="I526" t="s">
        <v>12</v>
      </c>
    </row>
    <row r="527" spans="1:9" x14ac:dyDescent="0.3">
      <c r="A527" t="s">
        <v>555</v>
      </c>
      <c r="B527" t="s">
        <v>38</v>
      </c>
      <c r="C527" t="s">
        <v>39</v>
      </c>
      <c r="D527" t="s">
        <v>11</v>
      </c>
      <c r="E527">
        <v>32878.54</v>
      </c>
      <c r="F527">
        <v>1</v>
      </c>
      <c r="G527">
        <v>32878.54</v>
      </c>
      <c r="H527" s="1">
        <v>46359</v>
      </c>
      <c r="I527" t="s">
        <v>27</v>
      </c>
    </row>
    <row r="528" spans="1:9" x14ac:dyDescent="0.3">
      <c r="A528" t="s">
        <v>556</v>
      </c>
      <c r="B528" t="s">
        <v>29</v>
      </c>
      <c r="C528" t="s">
        <v>30</v>
      </c>
      <c r="D528" t="s">
        <v>31</v>
      </c>
      <c r="E528">
        <v>587.5</v>
      </c>
      <c r="F528">
        <v>6</v>
      </c>
      <c r="G528">
        <v>3525</v>
      </c>
      <c r="H528" s="1">
        <v>46325</v>
      </c>
      <c r="I528" t="s">
        <v>12</v>
      </c>
    </row>
    <row r="529" spans="1:9" x14ac:dyDescent="0.3">
      <c r="A529" t="s">
        <v>557</v>
      </c>
      <c r="B529" t="s">
        <v>29</v>
      </c>
      <c r="C529" t="s">
        <v>30</v>
      </c>
      <c r="D529" t="s">
        <v>16</v>
      </c>
      <c r="E529">
        <v>2096.2800000000002</v>
      </c>
      <c r="F529">
        <v>5</v>
      </c>
      <c r="G529">
        <v>10481.4</v>
      </c>
      <c r="H529" s="1">
        <v>46208</v>
      </c>
      <c r="I529" t="s">
        <v>12</v>
      </c>
    </row>
    <row r="530" spans="1:9" x14ac:dyDescent="0.3">
      <c r="A530" t="s">
        <v>558</v>
      </c>
      <c r="B530" t="s">
        <v>9</v>
      </c>
      <c r="C530" t="s">
        <v>10</v>
      </c>
      <c r="D530" t="s">
        <v>11</v>
      </c>
      <c r="E530">
        <v>62951.199999999997</v>
      </c>
      <c r="F530">
        <v>3</v>
      </c>
      <c r="G530">
        <v>188853.6</v>
      </c>
      <c r="H530" s="1">
        <v>46081</v>
      </c>
      <c r="I530" t="s">
        <v>12</v>
      </c>
    </row>
    <row r="531" spans="1:9" x14ac:dyDescent="0.3">
      <c r="A531" t="s">
        <v>559</v>
      </c>
      <c r="B531" t="s">
        <v>38</v>
      </c>
      <c r="C531" t="s">
        <v>39</v>
      </c>
      <c r="D531" t="s">
        <v>31</v>
      </c>
      <c r="E531">
        <v>2447.6999999999998</v>
      </c>
      <c r="F531">
        <v>7</v>
      </c>
      <c r="G531">
        <v>17133.900000000001</v>
      </c>
      <c r="H531" s="1">
        <v>46183</v>
      </c>
      <c r="I531" t="s">
        <v>22</v>
      </c>
    </row>
    <row r="532" spans="1:9" x14ac:dyDescent="0.3">
      <c r="A532" t="s">
        <v>560</v>
      </c>
      <c r="B532" t="s">
        <v>20</v>
      </c>
      <c r="C532" t="s">
        <v>21</v>
      </c>
      <c r="D532" t="s">
        <v>31</v>
      </c>
      <c r="E532">
        <v>291.18</v>
      </c>
      <c r="F532">
        <v>8</v>
      </c>
      <c r="G532">
        <v>2329.44</v>
      </c>
      <c r="H532" s="1">
        <v>46269</v>
      </c>
      <c r="I532" t="s">
        <v>22</v>
      </c>
    </row>
    <row r="533" spans="1:9" x14ac:dyDescent="0.3">
      <c r="A533" t="s">
        <v>561</v>
      </c>
      <c r="B533" t="s">
        <v>20</v>
      </c>
      <c r="C533" t="s">
        <v>21</v>
      </c>
      <c r="D533" t="s">
        <v>11</v>
      </c>
      <c r="E533">
        <v>2023.65</v>
      </c>
      <c r="F533">
        <v>2</v>
      </c>
      <c r="G533">
        <v>4047.3</v>
      </c>
      <c r="H533" s="1">
        <v>46122</v>
      </c>
      <c r="I533" t="s">
        <v>22</v>
      </c>
    </row>
    <row r="534" spans="1:9" x14ac:dyDescent="0.3">
      <c r="A534" t="s">
        <v>562</v>
      </c>
      <c r="B534" t="s">
        <v>38</v>
      </c>
      <c r="C534" t="s">
        <v>39</v>
      </c>
      <c r="D534" t="s">
        <v>16</v>
      </c>
      <c r="E534">
        <v>5839.66</v>
      </c>
      <c r="F534">
        <v>2</v>
      </c>
      <c r="G534">
        <v>11679.32</v>
      </c>
      <c r="H534" s="1">
        <v>46219</v>
      </c>
      <c r="I534" t="s">
        <v>22</v>
      </c>
    </row>
    <row r="535" spans="1:9" x14ac:dyDescent="0.3">
      <c r="A535" t="s">
        <v>563</v>
      </c>
      <c r="B535" t="s">
        <v>20</v>
      </c>
      <c r="C535" t="s">
        <v>21</v>
      </c>
      <c r="D535" t="s">
        <v>26</v>
      </c>
      <c r="E535">
        <v>9054.56</v>
      </c>
      <c r="F535">
        <v>2</v>
      </c>
      <c r="G535">
        <v>18109.12</v>
      </c>
      <c r="H535" s="1">
        <v>46263</v>
      </c>
      <c r="I535" t="s">
        <v>27</v>
      </c>
    </row>
    <row r="536" spans="1:9" x14ac:dyDescent="0.3">
      <c r="A536" t="s">
        <v>564</v>
      </c>
      <c r="B536" t="s">
        <v>24</v>
      </c>
      <c r="C536" t="s">
        <v>25</v>
      </c>
      <c r="D536" t="s">
        <v>11</v>
      </c>
      <c r="E536">
        <v>53120.35</v>
      </c>
      <c r="F536">
        <v>2</v>
      </c>
      <c r="G536">
        <v>106240.7</v>
      </c>
      <c r="H536" s="1">
        <v>46054</v>
      </c>
      <c r="I536" t="s">
        <v>12</v>
      </c>
    </row>
    <row r="537" spans="1:9" x14ac:dyDescent="0.3">
      <c r="A537" t="s">
        <v>565</v>
      </c>
      <c r="B537" t="s">
        <v>24</v>
      </c>
      <c r="C537" t="s">
        <v>25</v>
      </c>
      <c r="D537" t="s">
        <v>16</v>
      </c>
      <c r="E537">
        <v>9605.2800000000007</v>
      </c>
      <c r="F537">
        <v>5</v>
      </c>
      <c r="G537">
        <v>48026.400000000001</v>
      </c>
      <c r="H537" s="1">
        <v>46230</v>
      </c>
      <c r="I537" t="s">
        <v>22</v>
      </c>
    </row>
    <row r="538" spans="1:9" x14ac:dyDescent="0.3">
      <c r="A538" t="s">
        <v>566</v>
      </c>
      <c r="B538" t="s">
        <v>14</v>
      </c>
      <c r="C538" t="s">
        <v>15</v>
      </c>
      <c r="D538" t="s">
        <v>47</v>
      </c>
      <c r="E538">
        <v>1903.54</v>
      </c>
      <c r="F538">
        <v>3</v>
      </c>
      <c r="G538">
        <v>5710.62</v>
      </c>
      <c r="H538" s="1">
        <v>46292</v>
      </c>
      <c r="I538" t="s">
        <v>12</v>
      </c>
    </row>
    <row r="539" spans="1:9" x14ac:dyDescent="0.3">
      <c r="A539" t="s">
        <v>567</v>
      </c>
      <c r="B539" t="s">
        <v>24</v>
      </c>
      <c r="C539" t="s">
        <v>25</v>
      </c>
      <c r="D539" t="s">
        <v>47</v>
      </c>
      <c r="E539">
        <v>4778.2</v>
      </c>
      <c r="F539">
        <v>4</v>
      </c>
      <c r="G539">
        <v>19112.8</v>
      </c>
      <c r="H539" s="1">
        <v>46101</v>
      </c>
      <c r="I539" t="s">
        <v>17</v>
      </c>
    </row>
    <row r="540" spans="1:9" x14ac:dyDescent="0.3">
      <c r="A540" t="s">
        <v>568</v>
      </c>
      <c r="B540" t="s">
        <v>24</v>
      </c>
      <c r="C540" t="s">
        <v>25</v>
      </c>
      <c r="D540" t="s">
        <v>47</v>
      </c>
      <c r="E540">
        <v>1320.11</v>
      </c>
      <c r="F540">
        <v>1</v>
      </c>
      <c r="G540">
        <v>1320.11</v>
      </c>
      <c r="H540" s="1">
        <v>46223</v>
      </c>
      <c r="I540" t="s">
        <v>27</v>
      </c>
    </row>
    <row r="541" spans="1:9" x14ac:dyDescent="0.3">
      <c r="A541" t="s">
        <v>569</v>
      </c>
      <c r="B541" t="s">
        <v>9</v>
      </c>
      <c r="C541" t="s">
        <v>10</v>
      </c>
      <c r="D541" t="s">
        <v>16</v>
      </c>
      <c r="E541">
        <v>3851.92</v>
      </c>
      <c r="F541">
        <v>4</v>
      </c>
      <c r="G541">
        <v>15407.68</v>
      </c>
      <c r="H541" s="1">
        <v>46281</v>
      </c>
      <c r="I541" t="s">
        <v>17</v>
      </c>
    </row>
    <row r="542" spans="1:9" x14ac:dyDescent="0.3">
      <c r="A542" t="s">
        <v>570</v>
      </c>
      <c r="B542" t="s">
        <v>29</v>
      </c>
      <c r="C542" t="s">
        <v>30</v>
      </c>
      <c r="D542" t="s">
        <v>47</v>
      </c>
      <c r="E542">
        <v>7121.48</v>
      </c>
      <c r="F542">
        <v>3</v>
      </c>
      <c r="G542">
        <v>21364.44</v>
      </c>
      <c r="H542" s="1">
        <v>46039</v>
      </c>
      <c r="I542" t="s">
        <v>17</v>
      </c>
    </row>
    <row r="543" spans="1:9" x14ac:dyDescent="0.3">
      <c r="A543" t="s">
        <v>571</v>
      </c>
      <c r="B543" t="s">
        <v>14</v>
      </c>
      <c r="C543" t="s">
        <v>15</v>
      </c>
      <c r="D543" t="s">
        <v>31</v>
      </c>
      <c r="E543">
        <v>2743.29</v>
      </c>
      <c r="F543">
        <v>10</v>
      </c>
      <c r="G543">
        <v>27432.9</v>
      </c>
      <c r="H543" s="1">
        <v>46258</v>
      </c>
      <c r="I543" t="s">
        <v>17</v>
      </c>
    </row>
    <row r="544" spans="1:9" x14ac:dyDescent="0.3">
      <c r="A544" t="s">
        <v>572</v>
      </c>
      <c r="B544" t="s">
        <v>9</v>
      </c>
      <c r="C544" t="s">
        <v>10</v>
      </c>
      <c r="D544" t="s">
        <v>31</v>
      </c>
      <c r="E544">
        <v>4435.1499999999996</v>
      </c>
      <c r="F544">
        <v>5</v>
      </c>
      <c r="G544">
        <v>22175.75</v>
      </c>
      <c r="H544" s="1">
        <v>46117</v>
      </c>
      <c r="I544" t="s">
        <v>17</v>
      </c>
    </row>
    <row r="545" spans="1:9" x14ac:dyDescent="0.3">
      <c r="A545" t="s">
        <v>573</v>
      </c>
      <c r="B545" t="s">
        <v>29</v>
      </c>
      <c r="C545" t="s">
        <v>30</v>
      </c>
      <c r="D545" t="s">
        <v>11</v>
      </c>
      <c r="E545">
        <v>17513.39</v>
      </c>
      <c r="F545">
        <v>2</v>
      </c>
      <c r="G545">
        <v>35026.78</v>
      </c>
      <c r="H545" s="1">
        <v>46168</v>
      </c>
      <c r="I545" t="s">
        <v>27</v>
      </c>
    </row>
    <row r="546" spans="1:9" x14ac:dyDescent="0.3">
      <c r="A546" t="s">
        <v>574</v>
      </c>
      <c r="B546" t="s">
        <v>24</v>
      </c>
      <c r="C546" t="s">
        <v>25</v>
      </c>
      <c r="D546" t="s">
        <v>16</v>
      </c>
      <c r="E546">
        <v>4161.28</v>
      </c>
      <c r="F546">
        <v>1</v>
      </c>
      <c r="G546">
        <v>4161.28</v>
      </c>
      <c r="H546" s="1">
        <v>46259</v>
      </c>
      <c r="I546" t="s">
        <v>22</v>
      </c>
    </row>
    <row r="547" spans="1:9" x14ac:dyDescent="0.3">
      <c r="A547" t="s">
        <v>575</v>
      </c>
      <c r="B547" t="s">
        <v>14</v>
      </c>
      <c r="C547" t="s">
        <v>15</v>
      </c>
      <c r="D547" t="s">
        <v>31</v>
      </c>
      <c r="E547">
        <v>2381.21</v>
      </c>
      <c r="F547">
        <v>9</v>
      </c>
      <c r="G547">
        <v>21430.89</v>
      </c>
      <c r="H547" s="1">
        <v>46024</v>
      </c>
      <c r="I547" t="s">
        <v>17</v>
      </c>
    </row>
    <row r="548" spans="1:9" x14ac:dyDescent="0.3">
      <c r="A548" t="s">
        <v>576</v>
      </c>
      <c r="B548" t="s">
        <v>38</v>
      </c>
      <c r="C548" t="s">
        <v>39</v>
      </c>
      <c r="D548" t="s">
        <v>31</v>
      </c>
      <c r="E548">
        <v>2426.4</v>
      </c>
      <c r="F548">
        <v>8</v>
      </c>
      <c r="G548">
        <v>19411.2</v>
      </c>
      <c r="H548" s="1">
        <v>46029</v>
      </c>
      <c r="I548" t="s">
        <v>12</v>
      </c>
    </row>
    <row r="549" spans="1:9" x14ac:dyDescent="0.3">
      <c r="A549" t="s">
        <v>577</v>
      </c>
      <c r="B549" t="s">
        <v>24</v>
      </c>
      <c r="C549" t="s">
        <v>25</v>
      </c>
      <c r="D549" t="s">
        <v>47</v>
      </c>
      <c r="E549">
        <v>7981.42</v>
      </c>
      <c r="F549">
        <v>5</v>
      </c>
      <c r="G549">
        <v>39907.1</v>
      </c>
      <c r="H549" s="1">
        <v>46186</v>
      </c>
      <c r="I549" t="s">
        <v>27</v>
      </c>
    </row>
    <row r="550" spans="1:9" x14ac:dyDescent="0.3">
      <c r="A550" t="s">
        <v>578</v>
      </c>
      <c r="B550" t="s">
        <v>9</v>
      </c>
      <c r="C550" t="s">
        <v>10</v>
      </c>
      <c r="D550" t="s">
        <v>31</v>
      </c>
      <c r="E550">
        <v>616.5</v>
      </c>
      <c r="F550">
        <v>1</v>
      </c>
      <c r="G550">
        <v>616.5</v>
      </c>
      <c r="H550" s="1">
        <v>46369</v>
      </c>
      <c r="I550" t="s">
        <v>17</v>
      </c>
    </row>
    <row r="551" spans="1:9" x14ac:dyDescent="0.3">
      <c r="A551" t="s">
        <v>579</v>
      </c>
      <c r="B551" t="s">
        <v>14</v>
      </c>
      <c r="C551" t="s">
        <v>15</v>
      </c>
      <c r="D551" t="s">
        <v>31</v>
      </c>
      <c r="E551">
        <v>4267.2299999999996</v>
      </c>
      <c r="F551">
        <v>3</v>
      </c>
      <c r="G551">
        <v>12801.69</v>
      </c>
      <c r="H551" s="1">
        <v>46025</v>
      </c>
      <c r="I551" t="s">
        <v>27</v>
      </c>
    </row>
    <row r="552" spans="1:9" x14ac:dyDescent="0.3">
      <c r="A552" t="s">
        <v>580</v>
      </c>
      <c r="B552" t="s">
        <v>14</v>
      </c>
      <c r="C552" t="s">
        <v>15</v>
      </c>
      <c r="D552" t="s">
        <v>11</v>
      </c>
      <c r="E552">
        <v>64885.21</v>
      </c>
      <c r="F552">
        <v>3</v>
      </c>
      <c r="G552">
        <v>194655.63</v>
      </c>
      <c r="H552" s="1">
        <v>46310</v>
      </c>
      <c r="I552" t="s">
        <v>22</v>
      </c>
    </row>
    <row r="553" spans="1:9" x14ac:dyDescent="0.3">
      <c r="A553" t="s">
        <v>581</v>
      </c>
      <c r="B553" t="s">
        <v>24</v>
      </c>
      <c r="C553" t="s">
        <v>25</v>
      </c>
      <c r="D553" t="s">
        <v>16</v>
      </c>
      <c r="E553">
        <v>6772.42</v>
      </c>
      <c r="F553">
        <v>1</v>
      </c>
      <c r="G553">
        <v>6772.42</v>
      </c>
      <c r="H553" s="1">
        <v>46050</v>
      </c>
      <c r="I553" t="s">
        <v>17</v>
      </c>
    </row>
    <row r="554" spans="1:9" x14ac:dyDescent="0.3">
      <c r="A554" t="s">
        <v>582</v>
      </c>
      <c r="B554" t="s">
        <v>24</v>
      </c>
      <c r="C554" t="s">
        <v>25</v>
      </c>
      <c r="D554" t="s">
        <v>31</v>
      </c>
      <c r="E554">
        <v>1752.98</v>
      </c>
      <c r="F554">
        <v>6</v>
      </c>
      <c r="G554">
        <v>10517.88</v>
      </c>
      <c r="H554" s="1">
        <v>46201</v>
      </c>
      <c r="I554" t="s">
        <v>22</v>
      </c>
    </row>
    <row r="555" spans="1:9" x14ac:dyDescent="0.3">
      <c r="A555" t="s">
        <v>583</v>
      </c>
      <c r="B555" t="s">
        <v>29</v>
      </c>
      <c r="C555" t="s">
        <v>30</v>
      </c>
      <c r="D555" t="s">
        <v>31</v>
      </c>
      <c r="E555">
        <v>2620.17</v>
      </c>
      <c r="F555">
        <v>5</v>
      </c>
      <c r="G555">
        <v>13100.85</v>
      </c>
      <c r="H555" s="1">
        <v>46180</v>
      </c>
      <c r="I555" t="s">
        <v>12</v>
      </c>
    </row>
    <row r="556" spans="1:9" x14ac:dyDescent="0.3">
      <c r="A556" t="s">
        <v>584</v>
      </c>
      <c r="B556" t="s">
        <v>24</v>
      </c>
      <c r="C556" t="s">
        <v>25</v>
      </c>
      <c r="D556" t="s">
        <v>31</v>
      </c>
      <c r="E556">
        <v>1497.72</v>
      </c>
      <c r="F556">
        <v>10</v>
      </c>
      <c r="G556">
        <v>14977.2</v>
      </c>
      <c r="H556" s="1">
        <v>46193</v>
      </c>
      <c r="I556" t="s">
        <v>27</v>
      </c>
    </row>
    <row r="557" spans="1:9" x14ac:dyDescent="0.3">
      <c r="A557" t="s">
        <v>585</v>
      </c>
      <c r="B557" t="s">
        <v>38</v>
      </c>
      <c r="C557" t="s">
        <v>39</v>
      </c>
      <c r="D557" t="s">
        <v>47</v>
      </c>
      <c r="E557">
        <v>6412.95</v>
      </c>
      <c r="F557">
        <v>5</v>
      </c>
      <c r="G557">
        <v>32064.75</v>
      </c>
      <c r="H557" s="1">
        <v>46052</v>
      </c>
      <c r="I557" t="s">
        <v>22</v>
      </c>
    </row>
    <row r="558" spans="1:9" x14ac:dyDescent="0.3">
      <c r="A558" t="s">
        <v>586</v>
      </c>
      <c r="B558" t="s">
        <v>38</v>
      </c>
      <c r="C558" t="s">
        <v>39</v>
      </c>
      <c r="D558" t="s">
        <v>33</v>
      </c>
      <c r="E558">
        <v>10116.1</v>
      </c>
      <c r="F558">
        <v>4</v>
      </c>
      <c r="G558">
        <v>40464.400000000001</v>
      </c>
      <c r="H558" s="1">
        <v>46298</v>
      </c>
      <c r="I558" t="s">
        <v>27</v>
      </c>
    </row>
    <row r="559" spans="1:9" x14ac:dyDescent="0.3">
      <c r="A559" t="s">
        <v>587</v>
      </c>
      <c r="B559" t="s">
        <v>14</v>
      </c>
      <c r="C559" t="s">
        <v>15</v>
      </c>
      <c r="D559" t="s">
        <v>16</v>
      </c>
      <c r="E559">
        <v>11132.35</v>
      </c>
      <c r="F559">
        <v>2</v>
      </c>
      <c r="G559">
        <v>22264.7</v>
      </c>
      <c r="H559" s="1">
        <v>46123</v>
      </c>
      <c r="I559" t="s">
        <v>27</v>
      </c>
    </row>
    <row r="560" spans="1:9" x14ac:dyDescent="0.3">
      <c r="A560" t="s">
        <v>588</v>
      </c>
      <c r="B560" t="s">
        <v>20</v>
      </c>
      <c r="C560" t="s">
        <v>21</v>
      </c>
      <c r="D560" t="s">
        <v>26</v>
      </c>
      <c r="E560">
        <v>31511.88</v>
      </c>
      <c r="F560">
        <v>2</v>
      </c>
      <c r="G560">
        <v>63023.76</v>
      </c>
      <c r="H560" s="1">
        <v>46304</v>
      </c>
      <c r="I560" t="s">
        <v>17</v>
      </c>
    </row>
    <row r="561" spans="1:9" x14ac:dyDescent="0.3">
      <c r="A561" t="s">
        <v>589</v>
      </c>
      <c r="B561" t="s">
        <v>14</v>
      </c>
      <c r="C561" t="s">
        <v>15</v>
      </c>
      <c r="D561" t="s">
        <v>47</v>
      </c>
      <c r="E561">
        <v>4163.12</v>
      </c>
      <c r="F561">
        <v>4</v>
      </c>
      <c r="G561">
        <v>16652.48</v>
      </c>
      <c r="H561" s="1">
        <v>46262</v>
      </c>
      <c r="I561" t="s">
        <v>27</v>
      </c>
    </row>
    <row r="562" spans="1:9" x14ac:dyDescent="0.3">
      <c r="A562" t="s">
        <v>590</v>
      </c>
      <c r="B562" t="s">
        <v>24</v>
      </c>
      <c r="C562" t="s">
        <v>25</v>
      </c>
      <c r="D562" t="s">
        <v>33</v>
      </c>
      <c r="E562">
        <v>14308.07</v>
      </c>
      <c r="F562">
        <v>4</v>
      </c>
      <c r="G562">
        <v>57232.28</v>
      </c>
      <c r="H562" s="1">
        <v>46224</v>
      </c>
      <c r="I562" t="s">
        <v>22</v>
      </c>
    </row>
    <row r="563" spans="1:9" x14ac:dyDescent="0.3">
      <c r="A563" t="s">
        <v>591</v>
      </c>
      <c r="B563" t="s">
        <v>38</v>
      </c>
      <c r="C563" t="s">
        <v>39</v>
      </c>
      <c r="D563" t="s">
        <v>26</v>
      </c>
      <c r="E563">
        <v>25692.720000000001</v>
      </c>
      <c r="F563">
        <v>1</v>
      </c>
      <c r="G563">
        <v>25692.720000000001</v>
      </c>
      <c r="H563" s="1">
        <v>46135</v>
      </c>
      <c r="I563" t="s">
        <v>22</v>
      </c>
    </row>
    <row r="564" spans="1:9" x14ac:dyDescent="0.3">
      <c r="A564" t="s">
        <v>592</v>
      </c>
      <c r="B564" t="s">
        <v>9</v>
      </c>
      <c r="C564" t="s">
        <v>10</v>
      </c>
      <c r="D564" t="s">
        <v>33</v>
      </c>
      <c r="E564">
        <v>18118.78</v>
      </c>
      <c r="F564">
        <v>4</v>
      </c>
      <c r="G564">
        <v>72475.12</v>
      </c>
      <c r="H564" s="1">
        <v>46261</v>
      </c>
      <c r="I564" t="s">
        <v>12</v>
      </c>
    </row>
    <row r="565" spans="1:9" x14ac:dyDescent="0.3">
      <c r="A565" t="s">
        <v>593</v>
      </c>
      <c r="B565" t="s">
        <v>20</v>
      </c>
      <c r="C565" t="s">
        <v>21</v>
      </c>
      <c r="D565" t="s">
        <v>33</v>
      </c>
      <c r="E565">
        <v>3933.59</v>
      </c>
      <c r="F565">
        <v>2</v>
      </c>
      <c r="G565">
        <v>7867.18</v>
      </c>
      <c r="H565" s="1">
        <v>46387</v>
      </c>
      <c r="I565" t="s">
        <v>17</v>
      </c>
    </row>
    <row r="566" spans="1:9" x14ac:dyDescent="0.3">
      <c r="A566" t="s">
        <v>594</v>
      </c>
      <c r="B566" t="s">
        <v>20</v>
      </c>
      <c r="C566" t="s">
        <v>21</v>
      </c>
      <c r="D566" t="s">
        <v>47</v>
      </c>
      <c r="E566">
        <v>7789.45</v>
      </c>
      <c r="F566">
        <v>1</v>
      </c>
      <c r="G566">
        <v>7789.45</v>
      </c>
      <c r="H566" s="1">
        <v>46359</v>
      </c>
      <c r="I566" t="s">
        <v>22</v>
      </c>
    </row>
    <row r="567" spans="1:9" x14ac:dyDescent="0.3">
      <c r="A567" t="s">
        <v>595</v>
      </c>
      <c r="B567" t="s">
        <v>20</v>
      </c>
      <c r="C567" t="s">
        <v>21</v>
      </c>
      <c r="D567" t="s">
        <v>16</v>
      </c>
      <c r="E567">
        <v>9802.6299999999992</v>
      </c>
      <c r="F567">
        <v>4</v>
      </c>
      <c r="G567">
        <v>39210.519999999997</v>
      </c>
      <c r="H567" s="1">
        <v>46357</v>
      </c>
      <c r="I567" t="s">
        <v>17</v>
      </c>
    </row>
    <row r="568" spans="1:9" x14ac:dyDescent="0.3">
      <c r="A568" t="s">
        <v>596</v>
      </c>
      <c r="B568" t="s">
        <v>9</v>
      </c>
      <c r="C568" t="s">
        <v>10</v>
      </c>
      <c r="D568" t="s">
        <v>11</v>
      </c>
      <c r="E568">
        <v>64666.42</v>
      </c>
      <c r="F568">
        <v>3</v>
      </c>
      <c r="G568">
        <v>193999.26</v>
      </c>
      <c r="H568" s="1">
        <v>46103</v>
      </c>
      <c r="I568" t="s">
        <v>27</v>
      </c>
    </row>
    <row r="569" spans="1:9" x14ac:dyDescent="0.3">
      <c r="A569" t="s">
        <v>597</v>
      </c>
      <c r="B569" t="s">
        <v>24</v>
      </c>
      <c r="C569" t="s">
        <v>25</v>
      </c>
      <c r="D569" t="s">
        <v>11</v>
      </c>
      <c r="E569">
        <v>36631.760000000002</v>
      </c>
      <c r="F569">
        <v>1</v>
      </c>
      <c r="G569">
        <v>36631.760000000002</v>
      </c>
      <c r="H569" s="1">
        <v>46236</v>
      </c>
      <c r="I569" t="s">
        <v>27</v>
      </c>
    </row>
    <row r="570" spans="1:9" x14ac:dyDescent="0.3">
      <c r="A570" t="s">
        <v>598</v>
      </c>
      <c r="B570" t="s">
        <v>38</v>
      </c>
      <c r="C570" t="s">
        <v>39</v>
      </c>
      <c r="D570" t="s">
        <v>16</v>
      </c>
      <c r="E570">
        <v>10095.26</v>
      </c>
      <c r="F570">
        <v>1</v>
      </c>
      <c r="G570">
        <v>10095.26</v>
      </c>
      <c r="H570" s="1">
        <v>46168</v>
      </c>
      <c r="I570" t="s">
        <v>22</v>
      </c>
    </row>
    <row r="571" spans="1:9" x14ac:dyDescent="0.3">
      <c r="A571" t="s">
        <v>599</v>
      </c>
      <c r="B571" t="s">
        <v>14</v>
      </c>
      <c r="C571" t="s">
        <v>15</v>
      </c>
      <c r="D571" t="s">
        <v>16</v>
      </c>
      <c r="E571">
        <v>3889.26</v>
      </c>
      <c r="F571">
        <v>5</v>
      </c>
      <c r="G571">
        <v>19446.3</v>
      </c>
      <c r="H571" s="1">
        <v>46375</v>
      </c>
      <c r="I571" t="s">
        <v>12</v>
      </c>
    </row>
    <row r="572" spans="1:9" x14ac:dyDescent="0.3">
      <c r="A572" t="s">
        <v>600</v>
      </c>
      <c r="B572" t="s">
        <v>38</v>
      </c>
      <c r="C572" t="s">
        <v>39</v>
      </c>
      <c r="D572" t="s">
        <v>31</v>
      </c>
      <c r="E572">
        <v>3821.64</v>
      </c>
      <c r="F572">
        <v>10</v>
      </c>
      <c r="G572">
        <v>38216.400000000001</v>
      </c>
      <c r="H572" s="1">
        <v>46369</v>
      </c>
      <c r="I572" t="s">
        <v>27</v>
      </c>
    </row>
    <row r="573" spans="1:9" x14ac:dyDescent="0.3">
      <c r="A573" t="s">
        <v>601</v>
      </c>
      <c r="B573" t="s">
        <v>9</v>
      </c>
      <c r="C573" t="s">
        <v>10</v>
      </c>
      <c r="D573" t="s">
        <v>16</v>
      </c>
      <c r="E573">
        <v>1943.27</v>
      </c>
      <c r="F573">
        <v>1</v>
      </c>
      <c r="G573">
        <v>1943.27</v>
      </c>
      <c r="H573" s="1">
        <v>46339</v>
      </c>
      <c r="I573" t="s">
        <v>22</v>
      </c>
    </row>
    <row r="574" spans="1:9" x14ac:dyDescent="0.3">
      <c r="A574" t="s">
        <v>602</v>
      </c>
      <c r="B574" t="s">
        <v>14</v>
      </c>
      <c r="C574" t="s">
        <v>15</v>
      </c>
      <c r="D574" t="s">
        <v>16</v>
      </c>
      <c r="E574">
        <v>3892.51</v>
      </c>
      <c r="F574">
        <v>5</v>
      </c>
      <c r="G574">
        <v>19462.55</v>
      </c>
      <c r="H574" s="1">
        <v>46082</v>
      </c>
      <c r="I574" t="s">
        <v>12</v>
      </c>
    </row>
    <row r="575" spans="1:9" x14ac:dyDescent="0.3">
      <c r="A575" t="s">
        <v>603</v>
      </c>
      <c r="B575" t="s">
        <v>9</v>
      </c>
      <c r="C575" t="s">
        <v>10</v>
      </c>
      <c r="D575" t="s">
        <v>47</v>
      </c>
      <c r="E575">
        <v>3621.29</v>
      </c>
      <c r="F575">
        <v>5</v>
      </c>
      <c r="G575">
        <v>18106.45</v>
      </c>
      <c r="H575" s="1">
        <v>46139</v>
      </c>
      <c r="I575" t="s">
        <v>12</v>
      </c>
    </row>
    <row r="576" spans="1:9" x14ac:dyDescent="0.3">
      <c r="A576" t="s">
        <v>604</v>
      </c>
      <c r="B576" t="s">
        <v>9</v>
      </c>
      <c r="C576" t="s">
        <v>10</v>
      </c>
      <c r="D576" t="s">
        <v>11</v>
      </c>
      <c r="E576">
        <v>24716.12</v>
      </c>
      <c r="F576">
        <v>3</v>
      </c>
      <c r="G576">
        <v>74148.36</v>
      </c>
      <c r="H576" s="1">
        <v>46282</v>
      </c>
      <c r="I576" t="s">
        <v>22</v>
      </c>
    </row>
    <row r="577" spans="1:9" x14ac:dyDescent="0.3">
      <c r="A577" t="s">
        <v>605</v>
      </c>
      <c r="B577" t="s">
        <v>14</v>
      </c>
      <c r="C577" t="s">
        <v>15</v>
      </c>
      <c r="D577" t="s">
        <v>31</v>
      </c>
      <c r="E577">
        <v>1965.73</v>
      </c>
      <c r="F577">
        <v>3</v>
      </c>
      <c r="G577">
        <v>5897.19</v>
      </c>
      <c r="H577" s="1">
        <v>46296</v>
      </c>
      <c r="I577" t="s">
        <v>22</v>
      </c>
    </row>
    <row r="578" spans="1:9" x14ac:dyDescent="0.3">
      <c r="A578" t="s">
        <v>606</v>
      </c>
      <c r="B578" t="s">
        <v>29</v>
      </c>
      <c r="C578" t="s">
        <v>30</v>
      </c>
      <c r="D578" t="s">
        <v>47</v>
      </c>
      <c r="E578">
        <v>6578.83</v>
      </c>
      <c r="F578">
        <v>3</v>
      </c>
      <c r="G578">
        <v>19736.490000000002</v>
      </c>
      <c r="H578" s="1">
        <v>46150</v>
      </c>
      <c r="I578" t="s">
        <v>22</v>
      </c>
    </row>
    <row r="579" spans="1:9" x14ac:dyDescent="0.3">
      <c r="A579" t="s">
        <v>607</v>
      </c>
      <c r="B579" t="s">
        <v>20</v>
      </c>
      <c r="C579" t="s">
        <v>21</v>
      </c>
      <c r="D579" t="s">
        <v>47</v>
      </c>
      <c r="E579">
        <v>2127.7399999999998</v>
      </c>
      <c r="F579">
        <v>5</v>
      </c>
      <c r="G579">
        <v>10638.7</v>
      </c>
      <c r="H579" s="1">
        <v>46072</v>
      </c>
      <c r="I579" t="s">
        <v>12</v>
      </c>
    </row>
    <row r="580" spans="1:9" x14ac:dyDescent="0.3">
      <c r="A580" t="s">
        <v>608</v>
      </c>
      <c r="B580" t="s">
        <v>9</v>
      </c>
      <c r="C580" t="s">
        <v>10</v>
      </c>
      <c r="D580" t="s">
        <v>33</v>
      </c>
      <c r="E580">
        <v>14982.04</v>
      </c>
      <c r="F580">
        <v>4</v>
      </c>
      <c r="G580">
        <v>59928.160000000003</v>
      </c>
      <c r="H580" s="1">
        <v>46072</v>
      </c>
      <c r="I580" t="s">
        <v>27</v>
      </c>
    </row>
    <row r="581" spans="1:9" x14ac:dyDescent="0.3">
      <c r="A581" t="s">
        <v>609</v>
      </c>
      <c r="B581" t="s">
        <v>38</v>
      </c>
      <c r="C581" t="s">
        <v>39</v>
      </c>
      <c r="D581" t="s">
        <v>33</v>
      </c>
      <c r="E581">
        <v>1752.13</v>
      </c>
      <c r="F581">
        <v>3</v>
      </c>
      <c r="G581">
        <v>5256.39</v>
      </c>
      <c r="H581" s="1">
        <v>46272</v>
      </c>
      <c r="I581" t="s">
        <v>12</v>
      </c>
    </row>
    <row r="582" spans="1:9" x14ac:dyDescent="0.3">
      <c r="A582" t="s">
        <v>610</v>
      </c>
      <c r="B582" t="s">
        <v>14</v>
      </c>
      <c r="C582" t="s">
        <v>15</v>
      </c>
      <c r="D582" t="s">
        <v>33</v>
      </c>
      <c r="E582">
        <v>15385.06</v>
      </c>
      <c r="F582">
        <v>1</v>
      </c>
      <c r="G582">
        <v>15385.06</v>
      </c>
      <c r="H582" s="1">
        <v>46188</v>
      </c>
      <c r="I582" t="s">
        <v>27</v>
      </c>
    </row>
    <row r="583" spans="1:9" x14ac:dyDescent="0.3">
      <c r="A583" t="s">
        <v>611</v>
      </c>
      <c r="B583" t="s">
        <v>14</v>
      </c>
      <c r="C583" t="s">
        <v>15</v>
      </c>
      <c r="D583" t="s">
        <v>31</v>
      </c>
      <c r="E583">
        <v>3970.52</v>
      </c>
      <c r="F583">
        <v>1</v>
      </c>
      <c r="G583">
        <v>3970.52</v>
      </c>
      <c r="H583" s="1">
        <v>46202</v>
      </c>
      <c r="I583" t="s">
        <v>12</v>
      </c>
    </row>
    <row r="584" spans="1:9" x14ac:dyDescent="0.3">
      <c r="A584" t="s">
        <v>612</v>
      </c>
      <c r="B584" t="s">
        <v>24</v>
      </c>
      <c r="C584" t="s">
        <v>25</v>
      </c>
      <c r="D584" t="s">
        <v>31</v>
      </c>
      <c r="E584">
        <v>2038.41</v>
      </c>
      <c r="F584">
        <v>3</v>
      </c>
      <c r="G584">
        <v>6115.23</v>
      </c>
      <c r="H584" s="1">
        <v>46320</v>
      </c>
      <c r="I584" t="s">
        <v>27</v>
      </c>
    </row>
    <row r="585" spans="1:9" x14ac:dyDescent="0.3">
      <c r="A585" t="s">
        <v>613</v>
      </c>
      <c r="B585" t="s">
        <v>38</v>
      </c>
      <c r="C585" t="s">
        <v>39</v>
      </c>
      <c r="D585" t="s">
        <v>31</v>
      </c>
      <c r="E585">
        <v>3626.27</v>
      </c>
      <c r="F585">
        <v>1</v>
      </c>
      <c r="G585">
        <v>3626.27</v>
      </c>
      <c r="H585" s="1">
        <v>46029</v>
      </c>
      <c r="I585" t="s">
        <v>27</v>
      </c>
    </row>
    <row r="586" spans="1:9" x14ac:dyDescent="0.3">
      <c r="A586" t="s">
        <v>614</v>
      </c>
      <c r="B586" t="s">
        <v>29</v>
      </c>
      <c r="C586" t="s">
        <v>30</v>
      </c>
      <c r="D586" t="s">
        <v>26</v>
      </c>
      <c r="E586">
        <v>45841.78</v>
      </c>
      <c r="F586">
        <v>1</v>
      </c>
      <c r="G586">
        <v>45841.78</v>
      </c>
      <c r="H586" s="1">
        <v>46298</v>
      </c>
      <c r="I586" t="s">
        <v>27</v>
      </c>
    </row>
    <row r="587" spans="1:9" x14ac:dyDescent="0.3">
      <c r="A587" t="s">
        <v>615</v>
      </c>
      <c r="B587" t="s">
        <v>20</v>
      </c>
      <c r="C587" t="s">
        <v>21</v>
      </c>
      <c r="D587" t="s">
        <v>33</v>
      </c>
      <c r="E587">
        <v>16074.05</v>
      </c>
      <c r="F587">
        <v>1</v>
      </c>
      <c r="G587">
        <v>16074.05</v>
      </c>
      <c r="H587" s="1">
        <v>46123</v>
      </c>
      <c r="I587" t="s">
        <v>17</v>
      </c>
    </row>
    <row r="588" spans="1:9" x14ac:dyDescent="0.3">
      <c r="A588" t="s">
        <v>616</v>
      </c>
      <c r="B588" t="s">
        <v>24</v>
      </c>
      <c r="C588" t="s">
        <v>25</v>
      </c>
      <c r="D588" t="s">
        <v>31</v>
      </c>
      <c r="E588">
        <v>1982.71</v>
      </c>
      <c r="F588">
        <v>8</v>
      </c>
      <c r="G588">
        <v>15861.68</v>
      </c>
      <c r="H588" s="1">
        <v>46362</v>
      </c>
      <c r="I588" t="s">
        <v>17</v>
      </c>
    </row>
    <row r="589" spans="1:9" x14ac:dyDescent="0.3">
      <c r="A589" t="s">
        <v>617</v>
      </c>
      <c r="B589" t="s">
        <v>38</v>
      </c>
      <c r="C589" t="s">
        <v>39</v>
      </c>
      <c r="D589" t="s">
        <v>16</v>
      </c>
      <c r="E589">
        <v>5965.3</v>
      </c>
      <c r="F589">
        <v>3</v>
      </c>
      <c r="G589">
        <v>17895.900000000001</v>
      </c>
      <c r="H589" s="1">
        <v>46371</v>
      </c>
      <c r="I589" t="s">
        <v>27</v>
      </c>
    </row>
    <row r="590" spans="1:9" x14ac:dyDescent="0.3">
      <c r="A590" t="s">
        <v>618</v>
      </c>
      <c r="B590" t="s">
        <v>24</v>
      </c>
      <c r="C590" t="s">
        <v>25</v>
      </c>
      <c r="D590" t="s">
        <v>31</v>
      </c>
      <c r="E590">
        <v>3907.82</v>
      </c>
      <c r="F590">
        <v>6</v>
      </c>
      <c r="G590">
        <v>23446.92</v>
      </c>
      <c r="H590" s="1">
        <v>46206</v>
      </c>
      <c r="I590" t="s">
        <v>17</v>
      </c>
    </row>
    <row r="591" spans="1:9" x14ac:dyDescent="0.3">
      <c r="A591" t="s">
        <v>619</v>
      </c>
      <c r="B591" t="s">
        <v>24</v>
      </c>
      <c r="C591" t="s">
        <v>25</v>
      </c>
      <c r="D591" t="s">
        <v>11</v>
      </c>
      <c r="E591">
        <v>22510.52</v>
      </c>
      <c r="F591">
        <v>3</v>
      </c>
      <c r="G591">
        <v>67531.56</v>
      </c>
      <c r="H591" s="1">
        <v>46138</v>
      </c>
      <c r="I591" t="s">
        <v>17</v>
      </c>
    </row>
    <row r="592" spans="1:9" x14ac:dyDescent="0.3">
      <c r="A592" t="s">
        <v>620</v>
      </c>
      <c r="B592" t="s">
        <v>29</v>
      </c>
      <c r="C592" t="s">
        <v>30</v>
      </c>
      <c r="D592" t="s">
        <v>11</v>
      </c>
      <c r="E592">
        <v>60448.1</v>
      </c>
      <c r="F592">
        <v>2</v>
      </c>
      <c r="G592">
        <v>120896.2</v>
      </c>
      <c r="H592" s="1">
        <v>46108</v>
      </c>
      <c r="I592" t="s">
        <v>12</v>
      </c>
    </row>
    <row r="593" spans="1:9" x14ac:dyDescent="0.3">
      <c r="A593" t="s">
        <v>621</v>
      </c>
      <c r="B593" t="s">
        <v>14</v>
      </c>
      <c r="C593" t="s">
        <v>15</v>
      </c>
      <c r="D593" t="s">
        <v>11</v>
      </c>
      <c r="E593">
        <v>25142.880000000001</v>
      </c>
      <c r="F593">
        <v>2</v>
      </c>
      <c r="G593">
        <v>50285.760000000002</v>
      </c>
      <c r="H593" s="1">
        <v>46089</v>
      </c>
      <c r="I593" t="s">
        <v>12</v>
      </c>
    </row>
    <row r="594" spans="1:9" x14ac:dyDescent="0.3">
      <c r="A594" t="s">
        <v>622</v>
      </c>
      <c r="B594" t="s">
        <v>38</v>
      </c>
      <c r="C594" t="s">
        <v>39</v>
      </c>
      <c r="D594" t="s">
        <v>33</v>
      </c>
      <c r="E594">
        <v>16178.01</v>
      </c>
      <c r="F594">
        <v>1</v>
      </c>
      <c r="G594">
        <v>16178.01</v>
      </c>
      <c r="H594" s="1">
        <v>46387</v>
      </c>
      <c r="I594" t="s">
        <v>22</v>
      </c>
    </row>
    <row r="595" spans="1:9" x14ac:dyDescent="0.3">
      <c r="A595" t="s">
        <v>623</v>
      </c>
      <c r="B595" t="s">
        <v>20</v>
      </c>
      <c r="C595" t="s">
        <v>21</v>
      </c>
      <c r="D595" t="s">
        <v>31</v>
      </c>
      <c r="E595">
        <v>479.66</v>
      </c>
      <c r="F595">
        <v>5</v>
      </c>
      <c r="G595">
        <v>2398.3000000000002</v>
      </c>
      <c r="H595" s="1">
        <v>46091</v>
      </c>
      <c r="I595" t="s">
        <v>27</v>
      </c>
    </row>
    <row r="596" spans="1:9" x14ac:dyDescent="0.3">
      <c r="A596" t="s">
        <v>624</v>
      </c>
      <c r="B596" t="s">
        <v>24</v>
      </c>
      <c r="C596" t="s">
        <v>25</v>
      </c>
      <c r="D596" t="s">
        <v>47</v>
      </c>
      <c r="E596">
        <v>450.74</v>
      </c>
      <c r="F596">
        <v>1</v>
      </c>
      <c r="G596">
        <v>450.74</v>
      </c>
      <c r="H596" s="1">
        <v>46185</v>
      </c>
      <c r="I596" t="s">
        <v>27</v>
      </c>
    </row>
    <row r="597" spans="1:9" x14ac:dyDescent="0.3">
      <c r="A597" t="s">
        <v>625</v>
      </c>
      <c r="B597" t="s">
        <v>38</v>
      </c>
      <c r="C597" t="s">
        <v>39</v>
      </c>
      <c r="D597" t="s">
        <v>26</v>
      </c>
      <c r="E597">
        <v>49886.1</v>
      </c>
      <c r="F597">
        <v>2</v>
      </c>
      <c r="G597">
        <v>99772.2</v>
      </c>
      <c r="H597" s="1">
        <v>46197</v>
      </c>
      <c r="I597" t="s">
        <v>12</v>
      </c>
    </row>
    <row r="598" spans="1:9" x14ac:dyDescent="0.3">
      <c r="A598" t="s">
        <v>626</v>
      </c>
      <c r="B598" t="s">
        <v>20</v>
      </c>
      <c r="C598" t="s">
        <v>21</v>
      </c>
      <c r="D598" t="s">
        <v>11</v>
      </c>
      <c r="E598">
        <v>65313.72</v>
      </c>
      <c r="F598">
        <v>3</v>
      </c>
      <c r="G598">
        <v>195941.16</v>
      </c>
      <c r="H598" s="1">
        <v>46270</v>
      </c>
      <c r="I598" t="s">
        <v>27</v>
      </c>
    </row>
    <row r="599" spans="1:9" x14ac:dyDescent="0.3">
      <c r="A599" t="s">
        <v>627</v>
      </c>
      <c r="B599" t="s">
        <v>20</v>
      </c>
      <c r="C599" t="s">
        <v>21</v>
      </c>
      <c r="D599" t="s">
        <v>11</v>
      </c>
      <c r="E599">
        <v>66307.28</v>
      </c>
      <c r="F599">
        <v>2</v>
      </c>
      <c r="G599">
        <v>132614.56</v>
      </c>
      <c r="H599" s="1">
        <v>46330</v>
      </c>
      <c r="I599" t="s">
        <v>17</v>
      </c>
    </row>
    <row r="600" spans="1:9" x14ac:dyDescent="0.3">
      <c r="A600" t="s">
        <v>628</v>
      </c>
      <c r="B600" t="s">
        <v>29</v>
      </c>
      <c r="C600" t="s">
        <v>30</v>
      </c>
      <c r="D600" t="s">
        <v>47</v>
      </c>
      <c r="E600">
        <v>7615.11</v>
      </c>
      <c r="F600">
        <v>2</v>
      </c>
      <c r="G600">
        <v>15230.22</v>
      </c>
      <c r="H600" s="1">
        <v>46226</v>
      </c>
      <c r="I600" t="s">
        <v>12</v>
      </c>
    </row>
    <row r="601" spans="1:9" x14ac:dyDescent="0.3">
      <c r="A601" t="s">
        <v>629</v>
      </c>
      <c r="B601" t="s">
        <v>20</v>
      </c>
      <c r="C601" t="s">
        <v>21</v>
      </c>
      <c r="D601" t="s">
        <v>31</v>
      </c>
      <c r="E601">
        <v>2219.67</v>
      </c>
      <c r="F601">
        <v>7</v>
      </c>
      <c r="G601">
        <v>15537.69</v>
      </c>
      <c r="H601" s="1">
        <v>46299</v>
      </c>
      <c r="I601" t="s">
        <v>12</v>
      </c>
    </row>
    <row r="602" spans="1:9" x14ac:dyDescent="0.3">
      <c r="A602" t="s">
        <v>630</v>
      </c>
      <c r="B602" t="s">
        <v>14</v>
      </c>
      <c r="C602" t="s">
        <v>15</v>
      </c>
      <c r="D602" t="s">
        <v>33</v>
      </c>
      <c r="E602">
        <v>5950.66</v>
      </c>
      <c r="F602">
        <v>4</v>
      </c>
      <c r="G602">
        <v>23802.639999999999</v>
      </c>
      <c r="H602" s="1">
        <v>46229</v>
      </c>
      <c r="I602" t="s">
        <v>17</v>
      </c>
    </row>
    <row r="603" spans="1:9" x14ac:dyDescent="0.3">
      <c r="A603" t="s">
        <v>631</v>
      </c>
      <c r="B603" t="s">
        <v>9</v>
      </c>
      <c r="C603" t="s">
        <v>10</v>
      </c>
      <c r="D603" t="s">
        <v>11</v>
      </c>
      <c r="E603">
        <v>10447.85</v>
      </c>
      <c r="F603">
        <v>2</v>
      </c>
      <c r="G603">
        <v>20895.7</v>
      </c>
      <c r="H603" s="1">
        <v>46182</v>
      </c>
      <c r="I603" t="s">
        <v>22</v>
      </c>
    </row>
    <row r="604" spans="1:9" x14ac:dyDescent="0.3">
      <c r="A604" t="s">
        <v>632</v>
      </c>
      <c r="B604" t="s">
        <v>29</v>
      </c>
      <c r="C604" t="s">
        <v>30</v>
      </c>
      <c r="D604" t="s">
        <v>26</v>
      </c>
      <c r="E604">
        <v>25559.25</v>
      </c>
      <c r="F604">
        <v>1</v>
      </c>
      <c r="G604">
        <v>25559.25</v>
      </c>
      <c r="H604" s="1">
        <v>46080</v>
      </c>
      <c r="I604" t="s">
        <v>17</v>
      </c>
    </row>
    <row r="605" spans="1:9" x14ac:dyDescent="0.3">
      <c r="A605" t="s">
        <v>633</v>
      </c>
      <c r="B605" t="s">
        <v>20</v>
      </c>
      <c r="C605" t="s">
        <v>21</v>
      </c>
      <c r="D605" t="s">
        <v>47</v>
      </c>
      <c r="E605">
        <v>1838.38</v>
      </c>
      <c r="F605">
        <v>4</v>
      </c>
      <c r="G605">
        <v>7353.52</v>
      </c>
      <c r="H605" s="1">
        <v>46099</v>
      </c>
      <c r="I605" t="s">
        <v>12</v>
      </c>
    </row>
    <row r="606" spans="1:9" x14ac:dyDescent="0.3">
      <c r="A606" t="s">
        <v>634</v>
      </c>
      <c r="B606" t="s">
        <v>29</v>
      </c>
      <c r="C606" t="s">
        <v>30</v>
      </c>
      <c r="D606" t="s">
        <v>31</v>
      </c>
      <c r="E606">
        <v>4680.9799999999996</v>
      </c>
      <c r="F606">
        <v>2</v>
      </c>
      <c r="G606">
        <v>9361.9599999999991</v>
      </c>
      <c r="H606" s="1">
        <v>46180</v>
      </c>
      <c r="I606" t="s">
        <v>27</v>
      </c>
    </row>
    <row r="607" spans="1:9" x14ac:dyDescent="0.3">
      <c r="A607" t="s">
        <v>635</v>
      </c>
      <c r="B607" t="s">
        <v>9</v>
      </c>
      <c r="C607" t="s">
        <v>10</v>
      </c>
      <c r="D607" t="s">
        <v>31</v>
      </c>
      <c r="E607">
        <v>69.819999999999993</v>
      </c>
      <c r="F607">
        <v>10</v>
      </c>
      <c r="G607">
        <v>698.2</v>
      </c>
      <c r="H607" s="1">
        <v>46039</v>
      </c>
      <c r="I607" t="s">
        <v>27</v>
      </c>
    </row>
    <row r="608" spans="1:9" x14ac:dyDescent="0.3">
      <c r="A608" t="s">
        <v>636</v>
      </c>
      <c r="B608" t="s">
        <v>9</v>
      </c>
      <c r="C608" t="s">
        <v>10</v>
      </c>
      <c r="D608" t="s">
        <v>33</v>
      </c>
      <c r="E608">
        <v>3120.98</v>
      </c>
      <c r="F608">
        <v>2</v>
      </c>
      <c r="G608">
        <v>6241.96</v>
      </c>
      <c r="H608" s="1">
        <v>46138</v>
      </c>
      <c r="I608" t="s">
        <v>22</v>
      </c>
    </row>
    <row r="609" spans="1:9" x14ac:dyDescent="0.3">
      <c r="A609" t="s">
        <v>637</v>
      </c>
      <c r="B609" t="s">
        <v>24</v>
      </c>
      <c r="C609" t="s">
        <v>25</v>
      </c>
      <c r="D609" t="s">
        <v>31</v>
      </c>
      <c r="E609">
        <v>1270.06</v>
      </c>
      <c r="F609">
        <v>4</v>
      </c>
      <c r="G609">
        <v>5080.24</v>
      </c>
      <c r="H609" s="1">
        <v>46191</v>
      </c>
      <c r="I609" t="s">
        <v>27</v>
      </c>
    </row>
    <row r="610" spans="1:9" x14ac:dyDescent="0.3">
      <c r="A610" t="s">
        <v>638</v>
      </c>
      <c r="B610" t="s">
        <v>9</v>
      </c>
      <c r="C610" t="s">
        <v>10</v>
      </c>
      <c r="D610" t="s">
        <v>16</v>
      </c>
      <c r="E610">
        <v>2627.79</v>
      </c>
      <c r="F610">
        <v>4</v>
      </c>
      <c r="G610">
        <v>10511.16</v>
      </c>
      <c r="H610" s="1">
        <v>46195</v>
      </c>
      <c r="I610" t="s">
        <v>22</v>
      </c>
    </row>
    <row r="611" spans="1:9" x14ac:dyDescent="0.3">
      <c r="A611" t="s">
        <v>639</v>
      </c>
      <c r="B611" t="s">
        <v>14</v>
      </c>
      <c r="C611" t="s">
        <v>15</v>
      </c>
      <c r="D611" t="s">
        <v>16</v>
      </c>
      <c r="E611">
        <v>2941.61</v>
      </c>
      <c r="F611">
        <v>1</v>
      </c>
      <c r="G611">
        <v>2941.61</v>
      </c>
      <c r="H611" s="1">
        <v>46320</v>
      </c>
      <c r="I611" t="s">
        <v>17</v>
      </c>
    </row>
    <row r="612" spans="1:9" x14ac:dyDescent="0.3">
      <c r="A612" t="s">
        <v>640</v>
      </c>
      <c r="B612" t="s">
        <v>14</v>
      </c>
      <c r="C612" t="s">
        <v>15</v>
      </c>
      <c r="D612" t="s">
        <v>31</v>
      </c>
      <c r="E612">
        <v>3297.44</v>
      </c>
      <c r="F612">
        <v>3</v>
      </c>
      <c r="G612">
        <v>9892.32</v>
      </c>
      <c r="H612" s="1">
        <v>46376</v>
      </c>
      <c r="I612" t="s">
        <v>12</v>
      </c>
    </row>
    <row r="613" spans="1:9" x14ac:dyDescent="0.3">
      <c r="A613" t="s">
        <v>641</v>
      </c>
      <c r="B613" t="s">
        <v>20</v>
      </c>
      <c r="C613" t="s">
        <v>21</v>
      </c>
      <c r="D613" t="s">
        <v>47</v>
      </c>
      <c r="E613">
        <v>2687.35</v>
      </c>
      <c r="F613">
        <v>1</v>
      </c>
      <c r="G613">
        <v>2687.35</v>
      </c>
      <c r="H613" s="1">
        <v>46289</v>
      </c>
      <c r="I613" t="s">
        <v>12</v>
      </c>
    </row>
    <row r="614" spans="1:9" x14ac:dyDescent="0.3">
      <c r="A614" t="s">
        <v>642</v>
      </c>
      <c r="B614" t="s">
        <v>29</v>
      </c>
      <c r="C614" t="s">
        <v>30</v>
      </c>
      <c r="D614" t="s">
        <v>47</v>
      </c>
      <c r="E614">
        <v>4958.6899999999996</v>
      </c>
      <c r="F614">
        <v>2</v>
      </c>
      <c r="G614">
        <v>9917.3799999999992</v>
      </c>
      <c r="H614" s="1">
        <v>46052</v>
      </c>
      <c r="I614" t="s">
        <v>17</v>
      </c>
    </row>
    <row r="615" spans="1:9" x14ac:dyDescent="0.3">
      <c r="A615" t="s">
        <v>643</v>
      </c>
      <c r="B615" t="s">
        <v>29</v>
      </c>
      <c r="C615" t="s">
        <v>30</v>
      </c>
      <c r="D615" t="s">
        <v>31</v>
      </c>
      <c r="E615">
        <v>4456.78</v>
      </c>
      <c r="F615">
        <v>6</v>
      </c>
      <c r="G615">
        <v>26740.68</v>
      </c>
      <c r="H615" s="1">
        <v>46172</v>
      </c>
      <c r="I615" t="s">
        <v>12</v>
      </c>
    </row>
    <row r="616" spans="1:9" x14ac:dyDescent="0.3">
      <c r="A616" t="s">
        <v>644</v>
      </c>
      <c r="B616" t="s">
        <v>38</v>
      </c>
      <c r="C616" t="s">
        <v>39</v>
      </c>
      <c r="D616" t="s">
        <v>47</v>
      </c>
      <c r="E616">
        <v>4860.2</v>
      </c>
      <c r="F616">
        <v>1</v>
      </c>
      <c r="G616">
        <v>4860.2</v>
      </c>
      <c r="H616" s="1">
        <v>46289</v>
      </c>
      <c r="I616" t="s">
        <v>27</v>
      </c>
    </row>
    <row r="617" spans="1:9" x14ac:dyDescent="0.3">
      <c r="A617" t="s">
        <v>645</v>
      </c>
      <c r="B617" t="s">
        <v>9</v>
      </c>
      <c r="C617" t="s">
        <v>10</v>
      </c>
      <c r="D617" t="s">
        <v>11</v>
      </c>
      <c r="E617">
        <v>52334.33</v>
      </c>
      <c r="F617">
        <v>2</v>
      </c>
      <c r="G617">
        <v>104668.66</v>
      </c>
      <c r="H617" s="1">
        <v>46240</v>
      </c>
      <c r="I617" t="s">
        <v>17</v>
      </c>
    </row>
    <row r="618" spans="1:9" x14ac:dyDescent="0.3">
      <c r="A618" t="s">
        <v>646</v>
      </c>
      <c r="B618" t="s">
        <v>9</v>
      </c>
      <c r="C618" t="s">
        <v>10</v>
      </c>
      <c r="D618" t="s">
        <v>11</v>
      </c>
      <c r="E618">
        <v>27920.34</v>
      </c>
      <c r="F618">
        <v>3</v>
      </c>
      <c r="G618">
        <v>83761.02</v>
      </c>
      <c r="H618" s="1">
        <v>46190</v>
      </c>
      <c r="I618" t="s">
        <v>27</v>
      </c>
    </row>
    <row r="619" spans="1:9" x14ac:dyDescent="0.3">
      <c r="A619" t="s">
        <v>647</v>
      </c>
      <c r="B619" t="s">
        <v>38</v>
      </c>
      <c r="C619" t="s">
        <v>39</v>
      </c>
      <c r="D619" t="s">
        <v>16</v>
      </c>
      <c r="E619">
        <v>2168.94</v>
      </c>
      <c r="F619">
        <v>5</v>
      </c>
      <c r="G619">
        <v>10844.7</v>
      </c>
      <c r="H619" s="1">
        <v>46182</v>
      </c>
      <c r="I619" t="s">
        <v>12</v>
      </c>
    </row>
    <row r="620" spans="1:9" x14ac:dyDescent="0.3">
      <c r="A620" t="s">
        <v>648</v>
      </c>
      <c r="B620" t="s">
        <v>24</v>
      </c>
      <c r="C620" t="s">
        <v>25</v>
      </c>
      <c r="D620" t="s">
        <v>33</v>
      </c>
      <c r="E620">
        <v>6615.51</v>
      </c>
      <c r="F620">
        <v>1</v>
      </c>
      <c r="G620">
        <v>6615.51</v>
      </c>
      <c r="H620" s="1">
        <v>46171</v>
      </c>
      <c r="I620" t="s">
        <v>12</v>
      </c>
    </row>
    <row r="621" spans="1:9" x14ac:dyDescent="0.3">
      <c r="A621" t="s">
        <v>649</v>
      </c>
      <c r="B621" t="s">
        <v>24</v>
      </c>
      <c r="C621" t="s">
        <v>25</v>
      </c>
      <c r="D621" t="s">
        <v>11</v>
      </c>
      <c r="E621">
        <v>72349.77</v>
      </c>
      <c r="F621">
        <v>2</v>
      </c>
      <c r="G621">
        <v>144699.54</v>
      </c>
      <c r="H621" s="1">
        <v>46234</v>
      </c>
      <c r="I621" t="s">
        <v>12</v>
      </c>
    </row>
    <row r="622" spans="1:9" x14ac:dyDescent="0.3">
      <c r="A622" t="s">
        <v>650</v>
      </c>
      <c r="B622" t="s">
        <v>9</v>
      </c>
      <c r="C622" t="s">
        <v>10</v>
      </c>
      <c r="D622" t="s">
        <v>11</v>
      </c>
      <c r="E622">
        <v>46938.400000000001</v>
      </c>
      <c r="F622">
        <v>1</v>
      </c>
      <c r="G622">
        <v>46938.400000000001</v>
      </c>
      <c r="H622" s="1">
        <v>46088</v>
      </c>
      <c r="I622" t="s">
        <v>12</v>
      </c>
    </row>
    <row r="623" spans="1:9" x14ac:dyDescent="0.3">
      <c r="A623" t="s">
        <v>651</v>
      </c>
      <c r="B623" t="s">
        <v>14</v>
      </c>
      <c r="C623" t="s">
        <v>15</v>
      </c>
      <c r="D623" t="s">
        <v>16</v>
      </c>
      <c r="E623">
        <v>3546.88</v>
      </c>
      <c r="F623">
        <v>3</v>
      </c>
      <c r="G623">
        <v>10640.64</v>
      </c>
      <c r="H623" s="1">
        <v>46211</v>
      </c>
      <c r="I623" t="s">
        <v>12</v>
      </c>
    </row>
    <row r="624" spans="1:9" x14ac:dyDescent="0.3">
      <c r="A624" t="s">
        <v>652</v>
      </c>
      <c r="B624" t="s">
        <v>29</v>
      </c>
      <c r="C624" t="s">
        <v>30</v>
      </c>
      <c r="D624" t="s">
        <v>47</v>
      </c>
      <c r="E624">
        <v>3662.23</v>
      </c>
      <c r="F624">
        <v>5</v>
      </c>
      <c r="G624">
        <v>18311.150000000001</v>
      </c>
      <c r="H624" s="1">
        <v>46098</v>
      </c>
      <c r="I624" t="s">
        <v>27</v>
      </c>
    </row>
    <row r="625" spans="1:9" x14ac:dyDescent="0.3">
      <c r="A625" t="s">
        <v>653</v>
      </c>
      <c r="B625" t="s">
        <v>14</v>
      </c>
      <c r="C625" t="s">
        <v>15</v>
      </c>
      <c r="D625" t="s">
        <v>11</v>
      </c>
      <c r="E625">
        <v>62795.07</v>
      </c>
      <c r="F625">
        <v>3</v>
      </c>
      <c r="G625">
        <v>188385.21</v>
      </c>
      <c r="H625" s="1">
        <v>46271</v>
      </c>
      <c r="I625" t="s">
        <v>12</v>
      </c>
    </row>
    <row r="626" spans="1:9" x14ac:dyDescent="0.3">
      <c r="A626" t="s">
        <v>654</v>
      </c>
      <c r="B626" t="s">
        <v>29</v>
      </c>
      <c r="C626" t="s">
        <v>30</v>
      </c>
      <c r="D626" t="s">
        <v>31</v>
      </c>
      <c r="E626">
        <v>3358.8</v>
      </c>
      <c r="F626">
        <v>3</v>
      </c>
      <c r="G626">
        <v>10076.4</v>
      </c>
      <c r="H626" s="1">
        <v>46338</v>
      </c>
      <c r="I626" t="s">
        <v>22</v>
      </c>
    </row>
    <row r="627" spans="1:9" x14ac:dyDescent="0.3">
      <c r="A627" t="s">
        <v>655</v>
      </c>
      <c r="B627" t="s">
        <v>14</v>
      </c>
      <c r="C627" t="s">
        <v>15</v>
      </c>
      <c r="D627" t="s">
        <v>47</v>
      </c>
      <c r="E627">
        <v>4529.16</v>
      </c>
      <c r="F627">
        <v>2</v>
      </c>
      <c r="G627">
        <v>9058.32</v>
      </c>
      <c r="H627" s="1">
        <v>46208</v>
      </c>
      <c r="I627" t="s">
        <v>17</v>
      </c>
    </row>
    <row r="628" spans="1:9" x14ac:dyDescent="0.3">
      <c r="A628" t="s">
        <v>656</v>
      </c>
      <c r="B628" t="s">
        <v>9</v>
      </c>
      <c r="C628" t="s">
        <v>10</v>
      </c>
      <c r="D628" t="s">
        <v>31</v>
      </c>
      <c r="E628">
        <v>4431.5600000000004</v>
      </c>
      <c r="F628">
        <v>8</v>
      </c>
      <c r="G628">
        <v>35452.480000000003</v>
      </c>
      <c r="H628" s="1">
        <v>46164</v>
      </c>
      <c r="I628" t="s">
        <v>22</v>
      </c>
    </row>
    <row r="629" spans="1:9" x14ac:dyDescent="0.3">
      <c r="A629" t="s">
        <v>657</v>
      </c>
      <c r="B629" t="s">
        <v>24</v>
      </c>
      <c r="C629" t="s">
        <v>25</v>
      </c>
      <c r="D629" t="s">
        <v>11</v>
      </c>
      <c r="E629">
        <v>50695.02</v>
      </c>
      <c r="F629">
        <v>3</v>
      </c>
      <c r="G629">
        <v>152085.06</v>
      </c>
      <c r="H629" s="1">
        <v>46366</v>
      </c>
      <c r="I629" t="s">
        <v>17</v>
      </c>
    </row>
    <row r="630" spans="1:9" x14ac:dyDescent="0.3">
      <c r="A630" t="s">
        <v>658</v>
      </c>
      <c r="B630" t="s">
        <v>14</v>
      </c>
      <c r="C630" t="s">
        <v>15</v>
      </c>
      <c r="D630" t="s">
        <v>11</v>
      </c>
      <c r="E630">
        <v>48490.55</v>
      </c>
      <c r="F630">
        <v>1</v>
      </c>
      <c r="G630">
        <v>48490.55</v>
      </c>
      <c r="H630" s="1">
        <v>46263</v>
      </c>
      <c r="I630" t="s">
        <v>27</v>
      </c>
    </row>
    <row r="631" spans="1:9" x14ac:dyDescent="0.3">
      <c r="A631" t="s">
        <v>659</v>
      </c>
      <c r="B631" t="s">
        <v>9</v>
      </c>
      <c r="C631" t="s">
        <v>10</v>
      </c>
      <c r="D631" t="s">
        <v>31</v>
      </c>
      <c r="E631">
        <v>989.35</v>
      </c>
      <c r="F631">
        <v>1</v>
      </c>
      <c r="G631">
        <v>989.35</v>
      </c>
      <c r="H631" s="1">
        <v>46179</v>
      </c>
      <c r="I631" t="s">
        <v>27</v>
      </c>
    </row>
    <row r="632" spans="1:9" x14ac:dyDescent="0.3">
      <c r="A632" t="s">
        <v>660</v>
      </c>
      <c r="B632" t="s">
        <v>29</v>
      </c>
      <c r="C632" t="s">
        <v>30</v>
      </c>
      <c r="D632" t="s">
        <v>16</v>
      </c>
      <c r="E632">
        <v>1544.75</v>
      </c>
      <c r="F632">
        <v>3</v>
      </c>
      <c r="G632">
        <v>4634.25</v>
      </c>
      <c r="H632" s="1">
        <v>46033</v>
      </c>
      <c r="I632" t="s">
        <v>27</v>
      </c>
    </row>
    <row r="633" spans="1:9" x14ac:dyDescent="0.3">
      <c r="A633" t="s">
        <v>661</v>
      </c>
      <c r="B633" t="s">
        <v>9</v>
      </c>
      <c r="C633" t="s">
        <v>10</v>
      </c>
      <c r="D633" t="s">
        <v>47</v>
      </c>
      <c r="E633">
        <v>7724.62</v>
      </c>
      <c r="F633">
        <v>4</v>
      </c>
      <c r="G633">
        <v>30898.48</v>
      </c>
      <c r="H633" s="1">
        <v>46028</v>
      </c>
      <c r="I633" t="s">
        <v>17</v>
      </c>
    </row>
    <row r="634" spans="1:9" x14ac:dyDescent="0.3">
      <c r="A634" t="s">
        <v>662</v>
      </c>
      <c r="B634" t="s">
        <v>24</v>
      </c>
      <c r="C634" t="s">
        <v>25</v>
      </c>
      <c r="D634" t="s">
        <v>26</v>
      </c>
      <c r="E634">
        <v>30344.06</v>
      </c>
      <c r="F634">
        <v>2</v>
      </c>
      <c r="G634">
        <v>60688.12</v>
      </c>
      <c r="H634" s="1">
        <v>46103</v>
      </c>
      <c r="I634" t="s">
        <v>12</v>
      </c>
    </row>
    <row r="635" spans="1:9" x14ac:dyDescent="0.3">
      <c r="A635" t="s">
        <v>663</v>
      </c>
      <c r="B635" t="s">
        <v>38</v>
      </c>
      <c r="C635" t="s">
        <v>39</v>
      </c>
      <c r="D635" t="s">
        <v>26</v>
      </c>
      <c r="E635">
        <v>21368.49</v>
      </c>
      <c r="F635">
        <v>3</v>
      </c>
      <c r="G635">
        <v>64105.47</v>
      </c>
      <c r="H635" s="1">
        <v>46109</v>
      </c>
      <c r="I635" t="s">
        <v>22</v>
      </c>
    </row>
    <row r="636" spans="1:9" x14ac:dyDescent="0.3">
      <c r="A636" t="s">
        <v>664</v>
      </c>
      <c r="B636" t="s">
        <v>24</v>
      </c>
      <c r="C636" t="s">
        <v>25</v>
      </c>
      <c r="D636" t="s">
        <v>33</v>
      </c>
      <c r="E636">
        <v>11903.71</v>
      </c>
      <c r="F636">
        <v>4</v>
      </c>
      <c r="G636">
        <v>47614.84</v>
      </c>
      <c r="H636" s="1">
        <v>46286</v>
      </c>
      <c r="I636" t="s">
        <v>22</v>
      </c>
    </row>
    <row r="637" spans="1:9" x14ac:dyDescent="0.3">
      <c r="A637" t="s">
        <v>665</v>
      </c>
      <c r="B637" t="s">
        <v>24</v>
      </c>
      <c r="C637" t="s">
        <v>25</v>
      </c>
      <c r="D637" t="s">
        <v>31</v>
      </c>
      <c r="E637">
        <v>355.97</v>
      </c>
      <c r="F637">
        <v>8</v>
      </c>
      <c r="G637">
        <v>2847.76</v>
      </c>
      <c r="H637" s="1">
        <v>46205</v>
      </c>
      <c r="I637" t="s">
        <v>17</v>
      </c>
    </row>
    <row r="638" spans="1:9" x14ac:dyDescent="0.3">
      <c r="A638" t="s">
        <v>666</v>
      </c>
      <c r="B638" t="s">
        <v>20</v>
      </c>
      <c r="C638" t="s">
        <v>21</v>
      </c>
      <c r="D638" t="s">
        <v>31</v>
      </c>
      <c r="E638">
        <v>4119.53</v>
      </c>
      <c r="F638">
        <v>1</v>
      </c>
      <c r="G638">
        <v>4119.53</v>
      </c>
      <c r="H638" s="1">
        <v>46387</v>
      </c>
      <c r="I638" t="s">
        <v>17</v>
      </c>
    </row>
    <row r="639" spans="1:9" x14ac:dyDescent="0.3">
      <c r="A639" t="s">
        <v>667</v>
      </c>
      <c r="B639" t="s">
        <v>20</v>
      </c>
      <c r="C639" t="s">
        <v>21</v>
      </c>
      <c r="D639" t="s">
        <v>33</v>
      </c>
      <c r="E639">
        <v>4567.92</v>
      </c>
      <c r="F639">
        <v>4</v>
      </c>
      <c r="G639">
        <v>18271.68</v>
      </c>
      <c r="H639" s="1">
        <v>46220</v>
      </c>
      <c r="I639" t="s">
        <v>27</v>
      </c>
    </row>
    <row r="640" spans="1:9" x14ac:dyDescent="0.3">
      <c r="A640" t="s">
        <v>668</v>
      </c>
      <c r="B640" t="s">
        <v>9</v>
      </c>
      <c r="C640" t="s">
        <v>10</v>
      </c>
      <c r="D640" t="s">
        <v>31</v>
      </c>
      <c r="E640">
        <v>4032.5</v>
      </c>
      <c r="F640">
        <v>8</v>
      </c>
      <c r="G640">
        <v>32260</v>
      </c>
      <c r="H640" s="1">
        <v>46352</v>
      </c>
      <c r="I640" t="s">
        <v>12</v>
      </c>
    </row>
    <row r="641" spans="1:9" x14ac:dyDescent="0.3">
      <c r="A641" t="s">
        <v>669</v>
      </c>
      <c r="B641" t="s">
        <v>9</v>
      </c>
      <c r="C641" t="s">
        <v>10</v>
      </c>
      <c r="D641" t="s">
        <v>26</v>
      </c>
      <c r="E641">
        <v>27184.54</v>
      </c>
      <c r="F641">
        <v>2</v>
      </c>
      <c r="G641">
        <v>54369.08</v>
      </c>
      <c r="H641" s="1">
        <v>46224</v>
      </c>
      <c r="I641" t="s">
        <v>27</v>
      </c>
    </row>
    <row r="642" spans="1:9" x14ac:dyDescent="0.3">
      <c r="A642" t="s">
        <v>670</v>
      </c>
      <c r="B642" t="s">
        <v>9</v>
      </c>
      <c r="C642" t="s">
        <v>10</v>
      </c>
      <c r="D642" t="s">
        <v>47</v>
      </c>
      <c r="E642">
        <v>2284.92</v>
      </c>
      <c r="F642">
        <v>3</v>
      </c>
      <c r="G642">
        <v>6854.76</v>
      </c>
      <c r="H642" s="1">
        <v>46153</v>
      </c>
      <c r="I642" t="s">
        <v>12</v>
      </c>
    </row>
    <row r="643" spans="1:9" x14ac:dyDescent="0.3">
      <c r="A643" t="s">
        <v>671</v>
      </c>
      <c r="B643" t="s">
        <v>9</v>
      </c>
      <c r="C643" t="s">
        <v>10</v>
      </c>
      <c r="D643" t="s">
        <v>11</v>
      </c>
      <c r="E643">
        <v>3041.58</v>
      </c>
      <c r="F643">
        <v>3</v>
      </c>
      <c r="G643">
        <v>9124.74</v>
      </c>
      <c r="H643" s="1">
        <v>46283</v>
      </c>
      <c r="I643" t="s">
        <v>12</v>
      </c>
    </row>
    <row r="644" spans="1:9" x14ac:dyDescent="0.3">
      <c r="A644" t="s">
        <v>672</v>
      </c>
      <c r="B644" t="s">
        <v>24</v>
      </c>
      <c r="C644" t="s">
        <v>25</v>
      </c>
      <c r="D644" t="s">
        <v>16</v>
      </c>
      <c r="E644">
        <v>9845.25</v>
      </c>
      <c r="F644">
        <v>5</v>
      </c>
      <c r="G644">
        <v>49226.25</v>
      </c>
      <c r="H644" s="1">
        <v>46187</v>
      </c>
      <c r="I644" t="s">
        <v>22</v>
      </c>
    </row>
    <row r="645" spans="1:9" x14ac:dyDescent="0.3">
      <c r="A645" t="s">
        <v>673</v>
      </c>
      <c r="B645" t="s">
        <v>38</v>
      </c>
      <c r="C645" t="s">
        <v>39</v>
      </c>
      <c r="D645" t="s">
        <v>11</v>
      </c>
      <c r="E645">
        <v>13893.34</v>
      </c>
      <c r="F645">
        <v>2</v>
      </c>
      <c r="G645">
        <v>27786.68</v>
      </c>
      <c r="H645" s="1">
        <v>46123</v>
      </c>
      <c r="I645" t="s">
        <v>12</v>
      </c>
    </row>
    <row r="646" spans="1:9" x14ac:dyDescent="0.3">
      <c r="A646" t="s">
        <v>674</v>
      </c>
      <c r="B646" t="s">
        <v>20</v>
      </c>
      <c r="C646" t="s">
        <v>21</v>
      </c>
      <c r="D646" t="s">
        <v>11</v>
      </c>
      <c r="E646">
        <v>4643.9399999999996</v>
      </c>
      <c r="F646">
        <v>1</v>
      </c>
      <c r="G646">
        <v>4643.9399999999996</v>
      </c>
      <c r="H646" s="1">
        <v>46195</v>
      </c>
      <c r="I646" t="s">
        <v>27</v>
      </c>
    </row>
    <row r="647" spans="1:9" x14ac:dyDescent="0.3">
      <c r="A647" t="s">
        <v>675</v>
      </c>
      <c r="B647" t="s">
        <v>9</v>
      </c>
      <c r="C647" t="s">
        <v>10</v>
      </c>
      <c r="D647" t="s">
        <v>16</v>
      </c>
      <c r="E647">
        <v>9143.77</v>
      </c>
      <c r="F647">
        <v>4</v>
      </c>
      <c r="G647">
        <v>36575.08</v>
      </c>
      <c r="H647" s="1">
        <v>46265</v>
      </c>
      <c r="I647" t="s">
        <v>12</v>
      </c>
    </row>
    <row r="648" spans="1:9" x14ac:dyDescent="0.3">
      <c r="A648" t="s">
        <v>676</v>
      </c>
      <c r="B648" t="s">
        <v>24</v>
      </c>
      <c r="C648" t="s">
        <v>25</v>
      </c>
      <c r="D648" t="s">
        <v>31</v>
      </c>
      <c r="E648">
        <v>1782.71</v>
      </c>
      <c r="F648">
        <v>7</v>
      </c>
      <c r="G648">
        <v>12478.97</v>
      </c>
      <c r="H648" s="1">
        <v>46160</v>
      </c>
      <c r="I648" t="s">
        <v>12</v>
      </c>
    </row>
    <row r="649" spans="1:9" x14ac:dyDescent="0.3">
      <c r="A649" t="s">
        <v>677</v>
      </c>
      <c r="B649" t="s">
        <v>14</v>
      </c>
      <c r="C649" t="s">
        <v>15</v>
      </c>
      <c r="D649" t="s">
        <v>47</v>
      </c>
      <c r="E649">
        <v>3175.74</v>
      </c>
      <c r="F649">
        <v>1</v>
      </c>
      <c r="G649">
        <v>3175.74</v>
      </c>
      <c r="H649" s="1">
        <v>46279</v>
      </c>
      <c r="I649" t="s">
        <v>12</v>
      </c>
    </row>
    <row r="650" spans="1:9" x14ac:dyDescent="0.3">
      <c r="A650" t="s">
        <v>678</v>
      </c>
      <c r="B650" t="s">
        <v>20</v>
      </c>
      <c r="C650" t="s">
        <v>21</v>
      </c>
      <c r="D650" t="s">
        <v>33</v>
      </c>
      <c r="E650">
        <v>5167.2299999999996</v>
      </c>
      <c r="F650">
        <v>4</v>
      </c>
      <c r="G650">
        <v>20668.919999999998</v>
      </c>
      <c r="H650" s="1">
        <v>46380</v>
      </c>
      <c r="I650" t="s">
        <v>22</v>
      </c>
    </row>
    <row r="651" spans="1:9" x14ac:dyDescent="0.3">
      <c r="A651" t="s">
        <v>679</v>
      </c>
      <c r="B651" t="s">
        <v>24</v>
      </c>
      <c r="C651" t="s">
        <v>25</v>
      </c>
      <c r="D651" t="s">
        <v>47</v>
      </c>
      <c r="E651">
        <v>6887.51</v>
      </c>
      <c r="F651">
        <v>2</v>
      </c>
      <c r="G651">
        <v>13775.02</v>
      </c>
      <c r="H651" s="1">
        <v>46173</v>
      </c>
      <c r="I651" t="s">
        <v>12</v>
      </c>
    </row>
    <row r="652" spans="1:9" x14ac:dyDescent="0.3">
      <c r="A652" t="s">
        <v>680</v>
      </c>
      <c r="B652" t="s">
        <v>14</v>
      </c>
      <c r="C652" t="s">
        <v>15</v>
      </c>
      <c r="D652" t="s">
        <v>31</v>
      </c>
      <c r="E652">
        <v>1521.78</v>
      </c>
      <c r="F652">
        <v>9</v>
      </c>
      <c r="G652">
        <v>13696.02</v>
      </c>
      <c r="H652" s="1">
        <v>46130</v>
      </c>
      <c r="I652" t="s">
        <v>12</v>
      </c>
    </row>
    <row r="653" spans="1:9" x14ac:dyDescent="0.3">
      <c r="A653" t="s">
        <v>681</v>
      </c>
      <c r="B653" t="s">
        <v>29</v>
      </c>
      <c r="C653" t="s">
        <v>30</v>
      </c>
      <c r="D653" t="s">
        <v>31</v>
      </c>
      <c r="E653">
        <v>1090.45</v>
      </c>
      <c r="F653">
        <v>6</v>
      </c>
      <c r="G653">
        <v>6542.7</v>
      </c>
      <c r="H653" s="1">
        <v>46169</v>
      </c>
      <c r="I653" t="s">
        <v>17</v>
      </c>
    </row>
    <row r="654" spans="1:9" x14ac:dyDescent="0.3">
      <c r="A654" t="s">
        <v>682</v>
      </c>
      <c r="B654" t="s">
        <v>20</v>
      </c>
      <c r="C654" t="s">
        <v>21</v>
      </c>
      <c r="D654" t="s">
        <v>31</v>
      </c>
      <c r="E654">
        <v>1580.79</v>
      </c>
      <c r="F654">
        <v>4</v>
      </c>
      <c r="G654">
        <v>6323.16</v>
      </c>
      <c r="H654" s="1">
        <v>46328</v>
      </c>
      <c r="I654" t="s">
        <v>12</v>
      </c>
    </row>
    <row r="655" spans="1:9" x14ac:dyDescent="0.3">
      <c r="A655" t="s">
        <v>683</v>
      </c>
      <c r="B655" t="s">
        <v>38</v>
      </c>
      <c r="C655" t="s">
        <v>39</v>
      </c>
      <c r="D655" t="s">
        <v>11</v>
      </c>
      <c r="E655">
        <v>15873.7</v>
      </c>
      <c r="F655">
        <v>1</v>
      </c>
      <c r="G655">
        <v>15873.7</v>
      </c>
      <c r="H655" s="1">
        <v>46088</v>
      </c>
      <c r="I655" t="s">
        <v>12</v>
      </c>
    </row>
    <row r="656" spans="1:9" x14ac:dyDescent="0.3">
      <c r="A656" t="s">
        <v>684</v>
      </c>
      <c r="B656" t="s">
        <v>9</v>
      </c>
      <c r="C656" t="s">
        <v>10</v>
      </c>
      <c r="D656" t="s">
        <v>33</v>
      </c>
      <c r="E656">
        <v>6557.81</v>
      </c>
      <c r="F656">
        <v>1</v>
      </c>
      <c r="G656">
        <v>6557.81</v>
      </c>
      <c r="H656" s="1">
        <v>46378</v>
      </c>
      <c r="I656" t="s">
        <v>17</v>
      </c>
    </row>
    <row r="657" spans="1:9" x14ac:dyDescent="0.3">
      <c r="A657" t="s">
        <v>685</v>
      </c>
      <c r="B657" t="s">
        <v>38</v>
      </c>
      <c r="C657" t="s">
        <v>39</v>
      </c>
      <c r="D657" t="s">
        <v>31</v>
      </c>
      <c r="E657">
        <v>460.53</v>
      </c>
      <c r="F657">
        <v>8</v>
      </c>
      <c r="G657">
        <v>3684.24</v>
      </c>
      <c r="H657" s="1">
        <v>46174</v>
      </c>
      <c r="I657" t="s">
        <v>12</v>
      </c>
    </row>
    <row r="658" spans="1:9" x14ac:dyDescent="0.3">
      <c r="A658" t="s">
        <v>686</v>
      </c>
      <c r="B658" t="s">
        <v>9</v>
      </c>
      <c r="C658" t="s">
        <v>10</v>
      </c>
      <c r="D658" t="s">
        <v>31</v>
      </c>
      <c r="E658">
        <v>834.72</v>
      </c>
      <c r="F658">
        <v>4</v>
      </c>
      <c r="G658">
        <v>3338.88</v>
      </c>
      <c r="H658" s="1">
        <v>46330</v>
      </c>
      <c r="I658" t="s">
        <v>17</v>
      </c>
    </row>
    <row r="659" spans="1:9" x14ac:dyDescent="0.3">
      <c r="A659" t="s">
        <v>687</v>
      </c>
      <c r="B659" t="s">
        <v>38</v>
      </c>
      <c r="C659" t="s">
        <v>39</v>
      </c>
      <c r="D659" t="s">
        <v>47</v>
      </c>
      <c r="E659">
        <v>3394.72</v>
      </c>
      <c r="F659">
        <v>5</v>
      </c>
      <c r="G659">
        <v>16973.599999999999</v>
      </c>
      <c r="H659" s="1">
        <v>46310</v>
      </c>
      <c r="I659" t="s">
        <v>22</v>
      </c>
    </row>
    <row r="660" spans="1:9" x14ac:dyDescent="0.3">
      <c r="A660" t="s">
        <v>688</v>
      </c>
      <c r="B660" t="s">
        <v>20</v>
      </c>
      <c r="C660" t="s">
        <v>21</v>
      </c>
      <c r="D660" t="s">
        <v>31</v>
      </c>
      <c r="E660">
        <v>4403.3599999999997</v>
      </c>
      <c r="F660">
        <v>3</v>
      </c>
      <c r="G660">
        <v>13210.08</v>
      </c>
      <c r="H660" s="1">
        <v>46309</v>
      </c>
      <c r="I660" t="s">
        <v>27</v>
      </c>
    </row>
    <row r="661" spans="1:9" x14ac:dyDescent="0.3">
      <c r="A661" t="s">
        <v>689</v>
      </c>
      <c r="B661" t="s">
        <v>38</v>
      </c>
      <c r="C661" t="s">
        <v>39</v>
      </c>
      <c r="D661" t="s">
        <v>11</v>
      </c>
      <c r="E661">
        <v>5050.97</v>
      </c>
      <c r="F661">
        <v>3</v>
      </c>
      <c r="G661">
        <v>15152.91</v>
      </c>
      <c r="H661" s="1">
        <v>46354</v>
      </c>
      <c r="I661" t="s">
        <v>27</v>
      </c>
    </row>
    <row r="662" spans="1:9" x14ac:dyDescent="0.3">
      <c r="A662" t="s">
        <v>690</v>
      </c>
      <c r="B662" t="s">
        <v>38</v>
      </c>
      <c r="C662" t="s">
        <v>39</v>
      </c>
      <c r="D662" t="s">
        <v>11</v>
      </c>
      <c r="E662">
        <v>16580.46</v>
      </c>
      <c r="F662">
        <v>3</v>
      </c>
      <c r="G662">
        <v>49741.38</v>
      </c>
      <c r="H662" s="1">
        <v>46090</v>
      </c>
      <c r="I662" t="s">
        <v>12</v>
      </c>
    </row>
    <row r="663" spans="1:9" x14ac:dyDescent="0.3">
      <c r="A663" t="s">
        <v>691</v>
      </c>
      <c r="B663" t="s">
        <v>29</v>
      </c>
      <c r="C663" t="s">
        <v>30</v>
      </c>
      <c r="D663" t="s">
        <v>26</v>
      </c>
      <c r="E663">
        <v>45508.94</v>
      </c>
      <c r="F663">
        <v>1</v>
      </c>
      <c r="G663">
        <v>45508.94</v>
      </c>
      <c r="H663" s="1">
        <v>46239</v>
      </c>
      <c r="I663" t="s">
        <v>17</v>
      </c>
    </row>
    <row r="664" spans="1:9" x14ac:dyDescent="0.3">
      <c r="A664" t="s">
        <v>692</v>
      </c>
      <c r="B664" t="s">
        <v>24</v>
      </c>
      <c r="C664" t="s">
        <v>25</v>
      </c>
      <c r="D664" t="s">
        <v>47</v>
      </c>
      <c r="E664">
        <v>7131.12</v>
      </c>
      <c r="F664">
        <v>4</v>
      </c>
      <c r="G664">
        <v>28524.48</v>
      </c>
      <c r="H664" s="1">
        <v>46059</v>
      </c>
      <c r="I664" t="s">
        <v>17</v>
      </c>
    </row>
    <row r="665" spans="1:9" x14ac:dyDescent="0.3">
      <c r="A665" t="s">
        <v>693</v>
      </c>
      <c r="B665" t="s">
        <v>24</v>
      </c>
      <c r="C665" t="s">
        <v>25</v>
      </c>
      <c r="D665" t="s">
        <v>11</v>
      </c>
      <c r="E665">
        <v>51215.25</v>
      </c>
      <c r="F665">
        <v>3</v>
      </c>
      <c r="G665">
        <v>153645.75</v>
      </c>
      <c r="H665" s="1">
        <v>46132</v>
      </c>
      <c r="I665" t="s">
        <v>27</v>
      </c>
    </row>
    <row r="666" spans="1:9" x14ac:dyDescent="0.3">
      <c r="A666" t="s">
        <v>694</v>
      </c>
      <c r="B666" t="s">
        <v>38</v>
      </c>
      <c r="C666" t="s">
        <v>39</v>
      </c>
      <c r="D666" t="s">
        <v>33</v>
      </c>
      <c r="E666">
        <v>5037.33</v>
      </c>
      <c r="F666">
        <v>2</v>
      </c>
      <c r="G666">
        <v>10074.66</v>
      </c>
      <c r="H666" s="1">
        <v>46037</v>
      </c>
      <c r="I666" t="s">
        <v>17</v>
      </c>
    </row>
    <row r="667" spans="1:9" x14ac:dyDescent="0.3">
      <c r="A667" t="s">
        <v>695</v>
      </c>
      <c r="B667" t="s">
        <v>20</v>
      </c>
      <c r="C667" t="s">
        <v>21</v>
      </c>
      <c r="D667" t="s">
        <v>47</v>
      </c>
      <c r="E667">
        <v>3416.5</v>
      </c>
      <c r="F667">
        <v>1</v>
      </c>
      <c r="G667">
        <v>3416.5</v>
      </c>
      <c r="H667" s="1">
        <v>46272</v>
      </c>
      <c r="I667" t="s">
        <v>12</v>
      </c>
    </row>
    <row r="668" spans="1:9" x14ac:dyDescent="0.3">
      <c r="A668" t="s">
        <v>696</v>
      </c>
      <c r="B668" t="s">
        <v>9</v>
      </c>
      <c r="C668" t="s">
        <v>10</v>
      </c>
      <c r="D668" t="s">
        <v>47</v>
      </c>
      <c r="E668">
        <v>1768.65</v>
      </c>
      <c r="F668">
        <v>5</v>
      </c>
      <c r="G668">
        <v>8843.25</v>
      </c>
      <c r="H668" s="1">
        <v>46244</v>
      </c>
      <c r="I668" t="s">
        <v>12</v>
      </c>
    </row>
    <row r="669" spans="1:9" x14ac:dyDescent="0.3">
      <c r="A669" t="s">
        <v>697</v>
      </c>
      <c r="B669" t="s">
        <v>29</v>
      </c>
      <c r="C669" t="s">
        <v>30</v>
      </c>
      <c r="D669" t="s">
        <v>31</v>
      </c>
      <c r="E669">
        <v>686.51</v>
      </c>
      <c r="F669">
        <v>5</v>
      </c>
      <c r="G669">
        <v>3432.55</v>
      </c>
      <c r="H669" s="1">
        <v>46293</v>
      </c>
      <c r="I669" t="s">
        <v>27</v>
      </c>
    </row>
    <row r="670" spans="1:9" x14ac:dyDescent="0.3">
      <c r="A670" t="s">
        <v>698</v>
      </c>
      <c r="B670" t="s">
        <v>38</v>
      </c>
      <c r="C670" t="s">
        <v>39</v>
      </c>
      <c r="D670" t="s">
        <v>11</v>
      </c>
      <c r="E670">
        <v>28995.88</v>
      </c>
      <c r="F670">
        <v>1</v>
      </c>
      <c r="G670">
        <v>28995.88</v>
      </c>
      <c r="H670" s="1">
        <v>46087</v>
      </c>
      <c r="I670" t="s">
        <v>22</v>
      </c>
    </row>
    <row r="671" spans="1:9" x14ac:dyDescent="0.3">
      <c r="A671" t="s">
        <v>699</v>
      </c>
      <c r="B671" t="s">
        <v>14</v>
      </c>
      <c r="C671" t="s">
        <v>15</v>
      </c>
      <c r="D671" t="s">
        <v>47</v>
      </c>
      <c r="E671">
        <v>4648.99</v>
      </c>
      <c r="F671">
        <v>5</v>
      </c>
      <c r="G671">
        <v>23244.95</v>
      </c>
      <c r="H671" s="1">
        <v>46144</v>
      </c>
      <c r="I671" t="s">
        <v>17</v>
      </c>
    </row>
    <row r="672" spans="1:9" x14ac:dyDescent="0.3">
      <c r="A672" t="s">
        <v>700</v>
      </c>
      <c r="B672" t="s">
        <v>24</v>
      </c>
      <c r="C672" t="s">
        <v>25</v>
      </c>
      <c r="D672" t="s">
        <v>31</v>
      </c>
      <c r="E672">
        <v>1831.67</v>
      </c>
      <c r="F672">
        <v>7</v>
      </c>
      <c r="G672">
        <v>12821.69</v>
      </c>
      <c r="H672" s="1">
        <v>46269</v>
      </c>
      <c r="I672" t="s">
        <v>22</v>
      </c>
    </row>
    <row r="673" spans="1:9" x14ac:dyDescent="0.3">
      <c r="A673" t="s">
        <v>701</v>
      </c>
      <c r="B673" t="s">
        <v>20</v>
      </c>
      <c r="C673" t="s">
        <v>21</v>
      </c>
      <c r="D673" t="s">
        <v>26</v>
      </c>
      <c r="E673">
        <v>30930.400000000001</v>
      </c>
      <c r="F673">
        <v>1</v>
      </c>
      <c r="G673">
        <v>30930.400000000001</v>
      </c>
      <c r="H673" s="1">
        <v>46324</v>
      </c>
      <c r="I673" t="s">
        <v>17</v>
      </c>
    </row>
    <row r="674" spans="1:9" x14ac:dyDescent="0.3">
      <c r="A674" t="s">
        <v>702</v>
      </c>
      <c r="B674" t="s">
        <v>29</v>
      </c>
      <c r="C674" t="s">
        <v>30</v>
      </c>
      <c r="D674" t="s">
        <v>47</v>
      </c>
      <c r="E674">
        <v>2440.41</v>
      </c>
      <c r="F674">
        <v>2</v>
      </c>
      <c r="G674">
        <v>4880.82</v>
      </c>
      <c r="H674" s="1">
        <v>46346</v>
      </c>
      <c r="I674" t="s">
        <v>17</v>
      </c>
    </row>
    <row r="675" spans="1:9" x14ac:dyDescent="0.3">
      <c r="A675" t="s">
        <v>703</v>
      </c>
      <c r="B675" t="s">
        <v>20</v>
      </c>
      <c r="C675" t="s">
        <v>21</v>
      </c>
      <c r="D675" t="s">
        <v>11</v>
      </c>
      <c r="E675">
        <v>26462.11</v>
      </c>
      <c r="F675">
        <v>1</v>
      </c>
      <c r="G675">
        <v>26462.11</v>
      </c>
      <c r="H675" s="1">
        <v>46049</v>
      </c>
      <c r="I675" t="s">
        <v>17</v>
      </c>
    </row>
    <row r="676" spans="1:9" x14ac:dyDescent="0.3">
      <c r="A676" t="s">
        <v>704</v>
      </c>
      <c r="B676" t="s">
        <v>20</v>
      </c>
      <c r="C676" t="s">
        <v>21</v>
      </c>
      <c r="D676" t="s">
        <v>47</v>
      </c>
      <c r="E676">
        <v>6346.32</v>
      </c>
      <c r="F676">
        <v>5</v>
      </c>
      <c r="G676">
        <v>31731.599999999999</v>
      </c>
      <c r="H676" s="1">
        <v>46169</v>
      </c>
      <c r="I676" t="s">
        <v>22</v>
      </c>
    </row>
    <row r="677" spans="1:9" x14ac:dyDescent="0.3">
      <c r="A677" t="s">
        <v>705</v>
      </c>
      <c r="B677" t="s">
        <v>38</v>
      </c>
      <c r="C677" t="s">
        <v>39</v>
      </c>
      <c r="D677" t="s">
        <v>33</v>
      </c>
      <c r="E677">
        <v>17602.8</v>
      </c>
      <c r="F677">
        <v>1</v>
      </c>
      <c r="G677">
        <v>17602.8</v>
      </c>
      <c r="H677" s="1">
        <v>46026</v>
      </c>
      <c r="I677" t="s">
        <v>17</v>
      </c>
    </row>
    <row r="678" spans="1:9" x14ac:dyDescent="0.3">
      <c r="A678" t="s">
        <v>706</v>
      </c>
      <c r="B678" t="s">
        <v>29</v>
      </c>
      <c r="C678" t="s">
        <v>30</v>
      </c>
      <c r="D678" t="s">
        <v>26</v>
      </c>
      <c r="E678">
        <v>16779.669999999998</v>
      </c>
      <c r="F678">
        <v>3</v>
      </c>
      <c r="G678">
        <v>50339.01</v>
      </c>
      <c r="H678" s="1">
        <v>46321</v>
      </c>
      <c r="I678" t="s">
        <v>17</v>
      </c>
    </row>
    <row r="679" spans="1:9" x14ac:dyDescent="0.3">
      <c r="A679" t="s">
        <v>707</v>
      </c>
      <c r="B679" t="s">
        <v>14</v>
      </c>
      <c r="C679" t="s">
        <v>15</v>
      </c>
      <c r="D679" t="s">
        <v>16</v>
      </c>
      <c r="E679">
        <v>6986.73</v>
      </c>
      <c r="F679">
        <v>3</v>
      </c>
      <c r="G679">
        <v>20960.189999999999</v>
      </c>
      <c r="H679" s="1">
        <v>46067</v>
      </c>
      <c r="I679" t="s">
        <v>12</v>
      </c>
    </row>
    <row r="680" spans="1:9" x14ac:dyDescent="0.3">
      <c r="A680" t="s">
        <v>708</v>
      </c>
      <c r="B680" t="s">
        <v>24</v>
      </c>
      <c r="C680" t="s">
        <v>25</v>
      </c>
      <c r="D680" t="s">
        <v>33</v>
      </c>
      <c r="E680">
        <v>5779.8</v>
      </c>
      <c r="F680">
        <v>3</v>
      </c>
      <c r="G680">
        <v>17339.400000000001</v>
      </c>
      <c r="H680" s="1">
        <v>46323</v>
      </c>
      <c r="I680" t="s">
        <v>12</v>
      </c>
    </row>
    <row r="681" spans="1:9" x14ac:dyDescent="0.3">
      <c r="A681" t="s">
        <v>709</v>
      </c>
      <c r="B681" t="s">
        <v>38</v>
      </c>
      <c r="C681" t="s">
        <v>39</v>
      </c>
      <c r="D681" t="s">
        <v>16</v>
      </c>
      <c r="E681">
        <v>924.02</v>
      </c>
      <c r="F681">
        <v>5</v>
      </c>
      <c r="G681">
        <v>4620.1000000000004</v>
      </c>
      <c r="H681" s="1">
        <v>46079</v>
      </c>
      <c r="I681" t="s">
        <v>17</v>
      </c>
    </row>
    <row r="682" spans="1:9" x14ac:dyDescent="0.3">
      <c r="A682" t="s">
        <v>710</v>
      </c>
      <c r="B682" t="s">
        <v>24</v>
      </c>
      <c r="C682" t="s">
        <v>25</v>
      </c>
      <c r="D682" t="s">
        <v>47</v>
      </c>
      <c r="E682">
        <v>5929.07</v>
      </c>
      <c r="F682">
        <v>5</v>
      </c>
      <c r="G682">
        <v>29645.35</v>
      </c>
      <c r="H682" s="1">
        <v>46028</v>
      </c>
      <c r="I682" t="s">
        <v>12</v>
      </c>
    </row>
    <row r="683" spans="1:9" x14ac:dyDescent="0.3">
      <c r="A683" t="s">
        <v>711</v>
      </c>
      <c r="B683" t="s">
        <v>24</v>
      </c>
      <c r="C683" t="s">
        <v>25</v>
      </c>
      <c r="D683" t="s">
        <v>47</v>
      </c>
      <c r="E683">
        <v>1450.93</v>
      </c>
      <c r="F683">
        <v>1</v>
      </c>
      <c r="G683">
        <v>1450.93</v>
      </c>
      <c r="H683" s="1">
        <v>46343</v>
      </c>
      <c r="I683" t="s">
        <v>12</v>
      </c>
    </row>
    <row r="684" spans="1:9" x14ac:dyDescent="0.3">
      <c r="A684" t="s">
        <v>712</v>
      </c>
      <c r="B684" t="s">
        <v>24</v>
      </c>
      <c r="C684" t="s">
        <v>25</v>
      </c>
      <c r="D684" t="s">
        <v>47</v>
      </c>
      <c r="E684">
        <v>3463.13</v>
      </c>
      <c r="F684">
        <v>1</v>
      </c>
      <c r="G684">
        <v>3463.13</v>
      </c>
      <c r="H684" s="1">
        <v>46183</v>
      </c>
      <c r="I684" t="s">
        <v>27</v>
      </c>
    </row>
    <row r="685" spans="1:9" x14ac:dyDescent="0.3">
      <c r="A685" t="s">
        <v>713</v>
      </c>
      <c r="B685" t="s">
        <v>14</v>
      </c>
      <c r="C685" t="s">
        <v>15</v>
      </c>
      <c r="D685" t="s">
        <v>31</v>
      </c>
      <c r="E685">
        <v>2460.88</v>
      </c>
      <c r="F685">
        <v>2</v>
      </c>
      <c r="G685">
        <v>4921.76</v>
      </c>
      <c r="H685" s="1">
        <v>46178</v>
      </c>
      <c r="I685" t="s">
        <v>22</v>
      </c>
    </row>
    <row r="686" spans="1:9" x14ac:dyDescent="0.3">
      <c r="A686" t="s">
        <v>714</v>
      </c>
      <c r="B686" t="s">
        <v>20</v>
      </c>
      <c r="C686" t="s">
        <v>21</v>
      </c>
      <c r="D686" t="s">
        <v>11</v>
      </c>
      <c r="E686">
        <v>14487.79</v>
      </c>
      <c r="F686">
        <v>3</v>
      </c>
      <c r="G686">
        <v>43463.37</v>
      </c>
      <c r="H686" s="1">
        <v>46259</v>
      </c>
      <c r="I686" t="s">
        <v>27</v>
      </c>
    </row>
    <row r="687" spans="1:9" x14ac:dyDescent="0.3">
      <c r="A687" t="s">
        <v>715</v>
      </c>
      <c r="B687" t="s">
        <v>38</v>
      </c>
      <c r="C687" t="s">
        <v>39</v>
      </c>
      <c r="D687" t="s">
        <v>31</v>
      </c>
      <c r="E687">
        <v>518.04999999999995</v>
      </c>
      <c r="F687">
        <v>6</v>
      </c>
      <c r="G687">
        <v>3108.3</v>
      </c>
      <c r="H687" s="1">
        <v>46123</v>
      </c>
      <c r="I687" t="s">
        <v>12</v>
      </c>
    </row>
    <row r="688" spans="1:9" x14ac:dyDescent="0.3">
      <c r="A688" t="s">
        <v>716</v>
      </c>
      <c r="B688" t="s">
        <v>14</v>
      </c>
      <c r="C688" t="s">
        <v>15</v>
      </c>
      <c r="D688" t="s">
        <v>16</v>
      </c>
      <c r="E688">
        <v>4371.75</v>
      </c>
      <c r="F688">
        <v>1</v>
      </c>
      <c r="G688">
        <v>4371.75</v>
      </c>
      <c r="H688" s="1">
        <v>46275</v>
      </c>
      <c r="I688" t="s">
        <v>27</v>
      </c>
    </row>
    <row r="689" spans="1:9" x14ac:dyDescent="0.3">
      <c r="A689" t="s">
        <v>717</v>
      </c>
      <c r="B689" t="s">
        <v>29</v>
      </c>
      <c r="C689" t="s">
        <v>30</v>
      </c>
      <c r="D689" t="s">
        <v>16</v>
      </c>
      <c r="E689">
        <v>11441.75</v>
      </c>
      <c r="F689">
        <v>2</v>
      </c>
      <c r="G689">
        <v>22883.5</v>
      </c>
      <c r="H689" s="1">
        <v>46179</v>
      </c>
      <c r="I689" t="s">
        <v>22</v>
      </c>
    </row>
    <row r="690" spans="1:9" x14ac:dyDescent="0.3">
      <c r="A690" t="s">
        <v>718</v>
      </c>
      <c r="B690" t="s">
        <v>9</v>
      </c>
      <c r="C690" t="s">
        <v>10</v>
      </c>
      <c r="D690" t="s">
        <v>26</v>
      </c>
      <c r="E690">
        <v>31141.64</v>
      </c>
      <c r="F690">
        <v>2</v>
      </c>
      <c r="G690">
        <v>62283.28</v>
      </c>
      <c r="H690" s="1">
        <v>46122</v>
      </c>
      <c r="I690" t="s">
        <v>27</v>
      </c>
    </row>
    <row r="691" spans="1:9" x14ac:dyDescent="0.3">
      <c r="A691" t="s">
        <v>719</v>
      </c>
      <c r="B691" t="s">
        <v>14</v>
      </c>
      <c r="C691" t="s">
        <v>15</v>
      </c>
      <c r="D691" t="s">
        <v>31</v>
      </c>
      <c r="E691">
        <v>1937.98</v>
      </c>
      <c r="F691">
        <v>8</v>
      </c>
      <c r="G691">
        <v>15503.84</v>
      </c>
      <c r="H691" s="1">
        <v>46167</v>
      </c>
      <c r="I691" t="s">
        <v>17</v>
      </c>
    </row>
    <row r="692" spans="1:9" x14ac:dyDescent="0.3">
      <c r="A692" t="s">
        <v>720</v>
      </c>
      <c r="B692" t="s">
        <v>38</v>
      </c>
      <c r="C692" t="s">
        <v>39</v>
      </c>
      <c r="D692" t="s">
        <v>47</v>
      </c>
      <c r="E692">
        <v>407.4</v>
      </c>
      <c r="F692">
        <v>2</v>
      </c>
      <c r="G692">
        <v>814.8</v>
      </c>
      <c r="H692" s="1">
        <v>46025</v>
      </c>
      <c r="I692" t="s">
        <v>12</v>
      </c>
    </row>
    <row r="693" spans="1:9" x14ac:dyDescent="0.3">
      <c r="A693" t="s">
        <v>721</v>
      </c>
      <c r="B693" t="s">
        <v>29</v>
      </c>
      <c r="C693" t="s">
        <v>30</v>
      </c>
      <c r="D693" t="s">
        <v>33</v>
      </c>
      <c r="E693">
        <v>12125.38</v>
      </c>
      <c r="F693">
        <v>4</v>
      </c>
      <c r="G693">
        <v>48501.52</v>
      </c>
      <c r="H693" s="1">
        <v>46133</v>
      </c>
      <c r="I693" t="s">
        <v>17</v>
      </c>
    </row>
    <row r="694" spans="1:9" x14ac:dyDescent="0.3">
      <c r="A694" t="s">
        <v>722</v>
      </c>
      <c r="B694" t="s">
        <v>38</v>
      </c>
      <c r="C694" t="s">
        <v>39</v>
      </c>
      <c r="D694" t="s">
        <v>31</v>
      </c>
      <c r="E694">
        <v>506.68</v>
      </c>
      <c r="F694">
        <v>10</v>
      </c>
      <c r="G694">
        <v>5066.8</v>
      </c>
      <c r="H694" s="1">
        <v>46238</v>
      </c>
      <c r="I694" t="s">
        <v>12</v>
      </c>
    </row>
    <row r="695" spans="1:9" x14ac:dyDescent="0.3">
      <c r="A695" t="s">
        <v>723</v>
      </c>
      <c r="B695" t="s">
        <v>38</v>
      </c>
      <c r="C695" t="s">
        <v>39</v>
      </c>
      <c r="D695" t="s">
        <v>47</v>
      </c>
      <c r="E695">
        <v>4386.1000000000004</v>
      </c>
      <c r="F695">
        <v>4</v>
      </c>
      <c r="G695">
        <v>17544.400000000001</v>
      </c>
      <c r="H695" s="1">
        <v>46073</v>
      </c>
      <c r="I695" t="s">
        <v>12</v>
      </c>
    </row>
    <row r="696" spans="1:9" x14ac:dyDescent="0.3">
      <c r="A696" t="s">
        <v>724</v>
      </c>
      <c r="B696" t="s">
        <v>29</v>
      </c>
      <c r="C696" t="s">
        <v>30</v>
      </c>
      <c r="D696" t="s">
        <v>26</v>
      </c>
      <c r="E696">
        <v>37845.57</v>
      </c>
      <c r="F696">
        <v>2</v>
      </c>
      <c r="G696">
        <v>75691.14</v>
      </c>
      <c r="H696" s="1">
        <v>46066</v>
      </c>
      <c r="I696" t="s">
        <v>12</v>
      </c>
    </row>
    <row r="697" spans="1:9" x14ac:dyDescent="0.3">
      <c r="A697" t="s">
        <v>725</v>
      </c>
      <c r="B697" t="s">
        <v>14</v>
      </c>
      <c r="C697" t="s">
        <v>15</v>
      </c>
      <c r="D697" t="s">
        <v>16</v>
      </c>
      <c r="E697">
        <v>5255.95</v>
      </c>
      <c r="F697">
        <v>5</v>
      </c>
      <c r="G697">
        <v>26279.75</v>
      </c>
      <c r="H697" s="1">
        <v>46262</v>
      </c>
      <c r="I697" t="s">
        <v>27</v>
      </c>
    </row>
    <row r="698" spans="1:9" x14ac:dyDescent="0.3">
      <c r="A698" t="s">
        <v>726</v>
      </c>
      <c r="B698" t="s">
        <v>9</v>
      </c>
      <c r="C698" t="s">
        <v>10</v>
      </c>
      <c r="D698" t="s">
        <v>11</v>
      </c>
      <c r="E698">
        <v>23016.33</v>
      </c>
      <c r="F698">
        <v>3</v>
      </c>
      <c r="G698">
        <v>69048.990000000005</v>
      </c>
      <c r="H698" s="1">
        <v>46179</v>
      </c>
      <c r="I698" t="s">
        <v>12</v>
      </c>
    </row>
    <row r="699" spans="1:9" x14ac:dyDescent="0.3">
      <c r="A699" t="s">
        <v>727</v>
      </c>
      <c r="B699" t="s">
        <v>20</v>
      </c>
      <c r="C699" t="s">
        <v>21</v>
      </c>
      <c r="D699" t="s">
        <v>47</v>
      </c>
      <c r="E699">
        <v>474.34</v>
      </c>
      <c r="F699">
        <v>3</v>
      </c>
      <c r="G699">
        <v>1423.02</v>
      </c>
      <c r="H699" s="1">
        <v>46072</v>
      </c>
      <c r="I699" t="s">
        <v>27</v>
      </c>
    </row>
    <row r="700" spans="1:9" x14ac:dyDescent="0.3">
      <c r="A700" t="s">
        <v>728</v>
      </c>
      <c r="B700" t="s">
        <v>20</v>
      </c>
      <c r="C700" t="s">
        <v>21</v>
      </c>
      <c r="D700" t="s">
        <v>33</v>
      </c>
      <c r="E700">
        <v>788.12</v>
      </c>
      <c r="F700">
        <v>2</v>
      </c>
      <c r="G700">
        <v>1576.24</v>
      </c>
      <c r="H700" s="1">
        <v>46295</v>
      </c>
      <c r="I700" t="s">
        <v>17</v>
      </c>
    </row>
    <row r="701" spans="1:9" x14ac:dyDescent="0.3">
      <c r="A701" t="s">
        <v>729</v>
      </c>
      <c r="B701" t="s">
        <v>38</v>
      </c>
      <c r="C701" t="s">
        <v>39</v>
      </c>
      <c r="D701" t="s">
        <v>26</v>
      </c>
      <c r="E701">
        <v>22071.3</v>
      </c>
      <c r="F701">
        <v>3</v>
      </c>
      <c r="G701">
        <v>66213.899999999994</v>
      </c>
      <c r="H701" s="1">
        <v>46306</v>
      </c>
      <c r="I701" t="s">
        <v>12</v>
      </c>
    </row>
    <row r="702" spans="1:9" x14ac:dyDescent="0.3">
      <c r="A702" t="s">
        <v>730</v>
      </c>
      <c r="B702" t="s">
        <v>38</v>
      </c>
      <c r="C702" t="s">
        <v>39</v>
      </c>
      <c r="D702" t="s">
        <v>33</v>
      </c>
      <c r="E702">
        <v>17701.900000000001</v>
      </c>
      <c r="F702">
        <v>3</v>
      </c>
      <c r="G702">
        <v>53105.7</v>
      </c>
      <c r="H702" s="1">
        <v>46035</v>
      </c>
      <c r="I702" t="s">
        <v>22</v>
      </c>
    </row>
    <row r="703" spans="1:9" x14ac:dyDescent="0.3">
      <c r="A703" t="s">
        <v>731</v>
      </c>
      <c r="B703" t="s">
        <v>38</v>
      </c>
      <c r="C703" t="s">
        <v>39</v>
      </c>
      <c r="D703" t="s">
        <v>33</v>
      </c>
      <c r="E703">
        <v>5108.04</v>
      </c>
      <c r="F703">
        <v>1</v>
      </c>
      <c r="G703">
        <v>5108.04</v>
      </c>
      <c r="H703" s="1">
        <v>46096</v>
      </c>
      <c r="I703" t="s">
        <v>22</v>
      </c>
    </row>
    <row r="704" spans="1:9" x14ac:dyDescent="0.3">
      <c r="A704" t="s">
        <v>732</v>
      </c>
      <c r="B704" t="s">
        <v>24</v>
      </c>
      <c r="C704" t="s">
        <v>25</v>
      </c>
      <c r="D704" t="s">
        <v>31</v>
      </c>
      <c r="E704">
        <v>2891.57</v>
      </c>
      <c r="F704">
        <v>10</v>
      </c>
      <c r="G704">
        <v>28915.7</v>
      </c>
      <c r="H704" s="1">
        <v>46158</v>
      </c>
      <c r="I704" t="s">
        <v>17</v>
      </c>
    </row>
    <row r="705" spans="1:9" x14ac:dyDescent="0.3">
      <c r="A705" t="s">
        <v>733</v>
      </c>
      <c r="B705" t="s">
        <v>9</v>
      </c>
      <c r="C705" t="s">
        <v>10</v>
      </c>
      <c r="D705" t="s">
        <v>26</v>
      </c>
      <c r="E705">
        <v>34530.99</v>
      </c>
      <c r="F705">
        <v>1</v>
      </c>
      <c r="G705">
        <v>34530.99</v>
      </c>
      <c r="H705" s="1">
        <v>46289</v>
      </c>
      <c r="I705" t="s">
        <v>12</v>
      </c>
    </row>
    <row r="706" spans="1:9" x14ac:dyDescent="0.3">
      <c r="A706" t="s">
        <v>734</v>
      </c>
      <c r="B706" t="s">
        <v>38</v>
      </c>
      <c r="C706" t="s">
        <v>39</v>
      </c>
      <c r="D706" t="s">
        <v>16</v>
      </c>
      <c r="E706">
        <v>1011.71</v>
      </c>
      <c r="F706">
        <v>4</v>
      </c>
      <c r="G706">
        <v>4046.84</v>
      </c>
      <c r="H706" s="1">
        <v>46050</v>
      </c>
      <c r="I706" t="s">
        <v>12</v>
      </c>
    </row>
    <row r="707" spans="1:9" x14ac:dyDescent="0.3">
      <c r="A707" t="s">
        <v>735</v>
      </c>
      <c r="B707" t="s">
        <v>14</v>
      </c>
      <c r="C707" t="s">
        <v>15</v>
      </c>
      <c r="D707" t="s">
        <v>33</v>
      </c>
      <c r="E707">
        <v>3316.08</v>
      </c>
      <c r="F707">
        <v>3</v>
      </c>
      <c r="G707">
        <v>9948.24</v>
      </c>
      <c r="H707" s="1">
        <v>46317</v>
      </c>
      <c r="I707" t="s">
        <v>17</v>
      </c>
    </row>
    <row r="708" spans="1:9" x14ac:dyDescent="0.3">
      <c r="A708" t="s">
        <v>736</v>
      </c>
      <c r="B708" t="s">
        <v>9</v>
      </c>
      <c r="C708" t="s">
        <v>10</v>
      </c>
      <c r="D708" t="s">
        <v>11</v>
      </c>
      <c r="E708">
        <v>25380.74</v>
      </c>
      <c r="F708">
        <v>2</v>
      </c>
      <c r="G708">
        <v>50761.48</v>
      </c>
      <c r="H708" s="1">
        <v>46139</v>
      </c>
      <c r="I708" t="s">
        <v>12</v>
      </c>
    </row>
    <row r="709" spans="1:9" x14ac:dyDescent="0.3">
      <c r="A709" t="s">
        <v>737</v>
      </c>
      <c r="B709" t="s">
        <v>9</v>
      </c>
      <c r="C709" t="s">
        <v>10</v>
      </c>
      <c r="D709" t="s">
        <v>31</v>
      </c>
      <c r="E709">
        <v>3366.96</v>
      </c>
      <c r="F709">
        <v>1</v>
      </c>
      <c r="G709">
        <v>3366.96</v>
      </c>
      <c r="H709" s="1">
        <v>46068</v>
      </c>
      <c r="I709" t="s">
        <v>27</v>
      </c>
    </row>
    <row r="710" spans="1:9" x14ac:dyDescent="0.3">
      <c r="A710" t="s">
        <v>738</v>
      </c>
      <c r="B710" t="s">
        <v>14</v>
      </c>
      <c r="C710" t="s">
        <v>15</v>
      </c>
      <c r="D710" t="s">
        <v>33</v>
      </c>
      <c r="E710">
        <v>8948.99</v>
      </c>
      <c r="F710">
        <v>2</v>
      </c>
      <c r="G710">
        <v>17897.98</v>
      </c>
      <c r="H710" s="1">
        <v>46338</v>
      </c>
      <c r="I710" t="s">
        <v>27</v>
      </c>
    </row>
    <row r="711" spans="1:9" x14ac:dyDescent="0.3">
      <c r="A711" t="s">
        <v>739</v>
      </c>
      <c r="B711" t="s">
        <v>14</v>
      </c>
      <c r="C711" t="s">
        <v>15</v>
      </c>
      <c r="D711" t="s">
        <v>31</v>
      </c>
      <c r="E711">
        <v>3684.27</v>
      </c>
      <c r="F711">
        <v>9</v>
      </c>
      <c r="G711">
        <v>33158.43</v>
      </c>
      <c r="H711" s="1">
        <v>46054</v>
      </c>
      <c r="I711" t="s">
        <v>22</v>
      </c>
    </row>
    <row r="712" spans="1:9" x14ac:dyDescent="0.3">
      <c r="A712" t="s">
        <v>740</v>
      </c>
      <c r="B712" t="s">
        <v>29</v>
      </c>
      <c r="C712" t="s">
        <v>30</v>
      </c>
      <c r="D712" t="s">
        <v>47</v>
      </c>
      <c r="E712">
        <v>6954.02</v>
      </c>
      <c r="F712">
        <v>2</v>
      </c>
      <c r="G712">
        <v>13908.04</v>
      </c>
      <c r="H712" s="1">
        <v>46070</v>
      </c>
      <c r="I712" t="s">
        <v>12</v>
      </c>
    </row>
    <row r="713" spans="1:9" x14ac:dyDescent="0.3">
      <c r="A713" t="s">
        <v>741</v>
      </c>
      <c r="B713" t="s">
        <v>20</v>
      </c>
      <c r="C713" t="s">
        <v>21</v>
      </c>
      <c r="D713" t="s">
        <v>31</v>
      </c>
      <c r="E713">
        <v>3803.94</v>
      </c>
      <c r="F713">
        <v>7</v>
      </c>
      <c r="G713">
        <v>26627.58</v>
      </c>
      <c r="H713" s="1">
        <v>46369</v>
      </c>
      <c r="I713" t="s">
        <v>27</v>
      </c>
    </row>
    <row r="714" spans="1:9" x14ac:dyDescent="0.3">
      <c r="A714" t="s">
        <v>742</v>
      </c>
      <c r="B714" t="s">
        <v>9</v>
      </c>
      <c r="C714" t="s">
        <v>10</v>
      </c>
      <c r="D714" t="s">
        <v>33</v>
      </c>
      <c r="E714">
        <v>19847.27</v>
      </c>
      <c r="F714">
        <v>4</v>
      </c>
      <c r="G714">
        <v>79389.08</v>
      </c>
      <c r="H714" s="1">
        <v>46212</v>
      </c>
      <c r="I714" t="s">
        <v>27</v>
      </c>
    </row>
    <row r="715" spans="1:9" x14ac:dyDescent="0.3">
      <c r="A715" t="s">
        <v>743</v>
      </c>
      <c r="B715" t="s">
        <v>29</v>
      </c>
      <c r="C715" t="s">
        <v>30</v>
      </c>
      <c r="D715" t="s">
        <v>33</v>
      </c>
      <c r="E715">
        <v>15160.91</v>
      </c>
      <c r="F715">
        <v>4</v>
      </c>
      <c r="G715">
        <v>60643.64</v>
      </c>
      <c r="H715" s="1">
        <v>46192</v>
      </c>
      <c r="I715" t="s">
        <v>27</v>
      </c>
    </row>
    <row r="716" spans="1:9" x14ac:dyDescent="0.3">
      <c r="A716" t="s">
        <v>744</v>
      </c>
      <c r="B716" t="s">
        <v>9</v>
      </c>
      <c r="C716" t="s">
        <v>10</v>
      </c>
      <c r="D716" t="s">
        <v>31</v>
      </c>
      <c r="E716">
        <v>4268.29</v>
      </c>
      <c r="F716">
        <v>6</v>
      </c>
      <c r="G716">
        <v>25609.74</v>
      </c>
      <c r="H716" s="1">
        <v>46273</v>
      </c>
      <c r="I716" t="s">
        <v>12</v>
      </c>
    </row>
    <row r="717" spans="1:9" x14ac:dyDescent="0.3">
      <c r="A717" t="s">
        <v>745</v>
      </c>
      <c r="B717" t="s">
        <v>24</v>
      </c>
      <c r="C717" t="s">
        <v>25</v>
      </c>
      <c r="D717" t="s">
        <v>47</v>
      </c>
      <c r="E717">
        <v>6675.69</v>
      </c>
      <c r="F717">
        <v>2</v>
      </c>
      <c r="G717">
        <v>13351.38</v>
      </c>
      <c r="H717" s="1">
        <v>46253</v>
      </c>
      <c r="I717" t="s">
        <v>27</v>
      </c>
    </row>
    <row r="718" spans="1:9" x14ac:dyDescent="0.3">
      <c r="A718" t="s">
        <v>746</v>
      </c>
      <c r="B718" t="s">
        <v>14</v>
      </c>
      <c r="C718" t="s">
        <v>15</v>
      </c>
      <c r="D718" t="s">
        <v>31</v>
      </c>
      <c r="E718">
        <v>3664.82</v>
      </c>
      <c r="F718">
        <v>7</v>
      </c>
      <c r="G718">
        <v>25653.74</v>
      </c>
      <c r="H718" s="1">
        <v>46246</v>
      </c>
      <c r="I718" t="s">
        <v>17</v>
      </c>
    </row>
    <row r="719" spans="1:9" x14ac:dyDescent="0.3">
      <c r="A719" t="s">
        <v>747</v>
      </c>
      <c r="B719" t="s">
        <v>24</v>
      </c>
      <c r="C719" t="s">
        <v>25</v>
      </c>
      <c r="D719" t="s">
        <v>26</v>
      </c>
      <c r="E719">
        <v>40288.29</v>
      </c>
      <c r="F719">
        <v>2</v>
      </c>
      <c r="G719">
        <v>80576.58</v>
      </c>
      <c r="H719" s="1">
        <v>46031</v>
      </c>
      <c r="I719" t="s">
        <v>12</v>
      </c>
    </row>
    <row r="720" spans="1:9" x14ac:dyDescent="0.3">
      <c r="A720" t="s">
        <v>748</v>
      </c>
      <c r="B720" t="s">
        <v>20</v>
      </c>
      <c r="C720" t="s">
        <v>21</v>
      </c>
      <c r="D720" t="s">
        <v>26</v>
      </c>
      <c r="E720">
        <v>46799.48</v>
      </c>
      <c r="F720">
        <v>2</v>
      </c>
      <c r="G720">
        <v>93598.96</v>
      </c>
      <c r="H720" s="1">
        <v>46224</v>
      </c>
      <c r="I720" t="s">
        <v>27</v>
      </c>
    </row>
    <row r="721" spans="1:9" x14ac:dyDescent="0.3">
      <c r="A721" t="s">
        <v>749</v>
      </c>
      <c r="B721" t="s">
        <v>29</v>
      </c>
      <c r="C721" t="s">
        <v>30</v>
      </c>
      <c r="D721" t="s">
        <v>47</v>
      </c>
      <c r="E721">
        <v>3854.14</v>
      </c>
      <c r="F721">
        <v>4</v>
      </c>
      <c r="G721">
        <v>15416.56</v>
      </c>
      <c r="H721" s="1">
        <v>46124</v>
      </c>
      <c r="I721" t="s">
        <v>22</v>
      </c>
    </row>
    <row r="722" spans="1:9" x14ac:dyDescent="0.3">
      <c r="A722" t="s">
        <v>750</v>
      </c>
      <c r="B722" t="s">
        <v>14</v>
      </c>
      <c r="C722" t="s">
        <v>15</v>
      </c>
      <c r="D722" t="s">
        <v>11</v>
      </c>
      <c r="E722">
        <v>48160.9</v>
      </c>
      <c r="F722">
        <v>3</v>
      </c>
      <c r="G722">
        <v>144482.70000000001</v>
      </c>
      <c r="H722" s="1">
        <v>46317</v>
      </c>
      <c r="I722" t="s">
        <v>17</v>
      </c>
    </row>
    <row r="723" spans="1:9" x14ac:dyDescent="0.3">
      <c r="A723" t="s">
        <v>751</v>
      </c>
      <c r="B723" t="s">
        <v>14</v>
      </c>
      <c r="C723" t="s">
        <v>15</v>
      </c>
      <c r="D723" t="s">
        <v>31</v>
      </c>
      <c r="E723">
        <v>2598.9499999999998</v>
      </c>
      <c r="F723">
        <v>3</v>
      </c>
      <c r="G723">
        <v>7796.85</v>
      </c>
      <c r="H723" s="1">
        <v>46207</v>
      </c>
      <c r="I723" t="s">
        <v>12</v>
      </c>
    </row>
    <row r="724" spans="1:9" x14ac:dyDescent="0.3">
      <c r="A724" t="s">
        <v>752</v>
      </c>
      <c r="B724" t="s">
        <v>24</v>
      </c>
      <c r="C724" t="s">
        <v>25</v>
      </c>
      <c r="D724" t="s">
        <v>26</v>
      </c>
      <c r="E724">
        <v>42700.81</v>
      </c>
      <c r="F724">
        <v>3</v>
      </c>
      <c r="G724">
        <v>128102.43</v>
      </c>
      <c r="H724" s="1">
        <v>46068</v>
      </c>
      <c r="I724" t="s">
        <v>17</v>
      </c>
    </row>
    <row r="725" spans="1:9" x14ac:dyDescent="0.3">
      <c r="A725" t="s">
        <v>753</v>
      </c>
      <c r="B725" t="s">
        <v>29</v>
      </c>
      <c r="C725" t="s">
        <v>30</v>
      </c>
      <c r="D725" t="s">
        <v>16</v>
      </c>
      <c r="E725">
        <v>5346.91</v>
      </c>
      <c r="F725">
        <v>3</v>
      </c>
      <c r="G725">
        <v>16040.73</v>
      </c>
      <c r="H725" s="1">
        <v>46346</v>
      </c>
      <c r="I725" t="s">
        <v>17</v>
      </c>
    </row>
    <row r="726" spans="1:9" x14ac:dyDescent="0.3">
      <c r="A726" t="s">
        <v>754</v>
      </c>
      <c r="B726" t="s">
        <v>24</v>
      </c>
      <c r="C726" t="s">
        <v>25</v>
      </c>
      <c r="D726" t="s">
        <v>16</v>
      </c>
      <c r="E726">
        <v>9890.7999999999993</v>
      </c>
      <c r="F726">
        <v>5</v>
      </c>
      <c r="G726">
        <v>49454</v>
      </c>
      <c r="H726" s="1">
        <v>46126</v>
      </c>
      <c r="I726" t="s">
        <v>27</v>
      </c>
    </row>
    <row r="727" spans="1:9" x14ac:dyDescent="0.3">
      <c r="A727" t="s">
        <v>755</v>
      </c>
      <c r="B727" t="s">
        <v>24</v>
      </c>
      <c r="C727" t="s">
        <v>25</v>
      </c>
      <c r="D727" t="s">
        <v>11</v>
      </c>
      <c r="E727">
        <v>60112.11</v>
      </c>
      <c r="F727">
        <v>2</v>
      </c>
      <c r="G727">
        <v>120224.22</v>
      </c>
      <c r="H727" s="1">
        <v>46122</v>
      </c>
      <c r="I727" t="s">
        <v>12</v>
      </c>
    </row>
    <row r="728" spans="1:9" x14ac:dyDescent="0.3">
      <c r="A728" t="s">
        <v>756</v>
      </c>
      <c r="B728" t="s">
        <v>38</v>
      </c>
      <c r="C728" t="s">
        <v>39</v>
      </c>
      <c r="D728" t="s">
        <v>31</v>
      </c>
      <c r="E728">
        <v>4811.34</v>
      </c>
      <c r="F728">
        <v>9</v>
      </c>
      <c r="G728">
        <v>43302.06</v>
      </c>
      <c r="H728" s="1">
        <v>46364</v>
      </c>
      <c r="I728" t="s">
        <v>12</v>
      </c>
    </row>
    <row r="729" spans="1:9" x14ac:dyDescent="0.3">
      <c r="A729" t="s">
        <v>757</v>
      </c>
      <c r="B729" t="s">
        <v>24</v>
      </c>
      <c r="C729" t="s">
        <v>25</v>
      </c>
      <c r="D729" t="s">
        <v>47</v>
      </c>
      <c r="E729">
        <v>2066.4699999999998</v>
      </c>
      <c r="F729">
        <v>5</v>
      </c>
      <c r="G729">
        <v>10332.35</v>
      </c>
      <c r="H729" s="1">
        <v>46305</v>
      </c>
      <c r="I729" t="s">
        <v>27</v>
      </c>
    </row>
    <row r="730" spans="1:9" x14ac:dyDescent="0.3">
      <c r="A730" t="s">
        <v>758</v>
      </c>
      <c r="B730" t="s">
        <v>14</v>
      </c>
      <c r="C730" t="s">
        <v>15</v>
      </c>
      <c r="D730" t="s">
        <v>11</v>
      </c>
      <c r="E730">
        <v>53453.77</v>
      </c>
      <c r="F730">
        <v>3</v>
      </c>
      <c r="G730">
        <v>160361.31</v>
      </c>
      <c r="H730" s="1">
        <v>46336</v>
      </c>
      <c r="I730" t="s">
        <v>17</v>
      </c>
    </row>
    <row r="731" spans="1:9" x14ac:dyDescent="0.3">
      <c r="A731" t="s">
        <v>759</v>
      </c>
      <c r="B731" t="s">
        <v>14</v>
      </c>
      <c r="C731" t="s">
        <v>15</v>
      </c>
      <c r="D731" t="s">
        <v>31</v>
      </c>
      <c r="E731">
        <v>3796.75</v>
      </c>
      <c r="F731">
        <v>8</v>
      </c>
      <c r="G731">
        <v>30374</v>
      </c>
      <c r="H731" s="1">
        <v>46264</v>
      </c>
      <c r="I731" t="s">
        <v>12</v>
      </c>
    </row>
    <row r="732" spans="1:9" x14ac:dyDescent="0.3">
      <c r="A732" t="s">
        <v>760</v>
      </c>
      <c r="B732" t="s">
        <v>38</v>
      </c>
      <c r="C732" t="s">
        <v>39</v>
      </c>
      <c r="D732" t="s">
        <v>33</v>
      </c>
      <c r="E732">
        <v>18744.689999999999</v>
      </c>
      <c r="F732">
        <v>3</v>
      </c>
      <c r="G732">
        <v>56234.07</v>
      </c>
      <c r="H732" s="1">
        <v>46355</v>
      </c>
      <c r="I732" t="s">
        <v>27</v>
      </c>
    </row>
    <row r="733" spans="1:9" x14ac:dyDescent="0.3">
      <c r="A733" t="s">
        <v>761</v>
      </c>
      <c r="B733" t="s">
        <v>24</v>
      </c>
      <c r="C733" t="s">
        <v>25</v>
      </c>
      <c r="D733" t="s">
        <v>11</v>
      </c>
      <c r="E733">
        <v>68092.160000000003</v>
      </c>
      <c r="F733">
        <v>1</v>
      </c>
      <c r="G733">
        <v>68092.160000000003</v>
      </c>
      <c r="H733" s="1">
        <v>46065</v>
      </c>
      <c r="I733" t="s">
        <v>27</v>
      </c>
    </row>
    <row r="734" spans="1:9" x14ac:dyDescent="0.3">
      <c r="A734" t="s">
        <v>762</v>
      </c>
      <c r="B734" t="s">
        <v>24</v>
      </c>
      <c r="C734" t="s">
        <v>25</v>
      </c>
      <c r="D734" t="s">
        <v>47</v>
      </c>
      <c r="E734">
        <v>4630.8500000000004</v>
      </c>
      <c r="F734">
        <v>2</v>
      </c>
      <c r="G734">
        <v>9261.7000000000007</v>
      </c>
      <c r="H734" s="1">
        <v>46241</v>
      </c>
      <c r="I734" t="s">
        <v>22</v>
      </c>
    </row>
    <row r="735" spans="1:9" x14ac:dyDescent="0.3">
      <c r="A735" t="s">
        <v>763</v>
      </c>
      <c r="B735" t="s">
        <v>38</v>
      </c>
      <c r="C735" t="s">
        <v>39</v>
      </c>
      <c r="D735" t="s">
        <v>31</v>
      </c>
      <c r="E735">
        <v>2916.81</v>
      </c>
      <c r="F735">
        <v>5</v>
      </c>
      <c r="G735">
        <v>14584.05</v>
      </c>
      <c r="H735" s="1">
        <v>46130</v>
      </c>
      <c r="I735" t="s">
        <v>17</v>
      </c>
    </row>
    <row r="736" spans="1:9" x14ac:dyDescent="0.3">
      <c r="A736" t="s">
        <v>764</v>
      </c>
      <c r="B736" t="s">
        <v>24</v>
      </c>
      <c r="C736" t="s">
        <v>25</v>
      </c>
      <c r="D736" t="s">
        <v>47</v>
      </c>
      <c r="E736">
        <v>1421.6</v>
      </c>
      <c r="F736">
        <v>4</v>
      </c>
      <c r="G736">
        <v>5686.4</v>
      </c>
      <c r="H736" s="1">
        <v>46168</v>
      </c>
      <c r="I736" t="s">
        <v>27</v>
      </c>
    </row>
    <row r="737" spans="1:9" x14ac:dyDescent="0.3">
      <c r="A737" t="s">
        <v>765</v>
      </c>
      <c r="B737" t="s">
        <v>20</v>
      </c>
      <c r="C737" t="s">
        <v>21</v>
      </c>
      <c r="D737" t="s">
        <v>47</v>
      </c>
      <c r="E737">
        <v>7802.21</v>
      </c>
      <c r="F737">
        <v>3</v>
      </c>
      <c r="G737">
        <v>23406.63</v>
      </c>
      <c r="H737" s="1">
        <v>46109</v>
      </c>
      <c r="I737" t="s">
        <v>17</v>
      </c>
    </row>
    <row r="738" spans="1:9" x14ac:dyDescent="0.3">
      <c r="A738" t="s">
        <v>766</v>
      </c>
      <c r="B738" t="s">
        <v>24</v>
      </c>
      <c r="C738" t="s">
        <v>25</v>
      </c>
      <c r="D738" t="s">
        <v>33</v>
      </c>
      <c r="E738">
        <v>5323.84</v>
      </c>
      <c r="F738">
        <v>2</v>
      </c>
      <c r="G738">
        <v>10647.68</v>
      </c>
      <c r="H738" s="1">
        <v>46097</v>
      </c>
      <c r="I738" t="s">
        <v>27</v>
      </c>
    </row>
    <row r="739" spans="1:9" x14ac:dyDescent="0.3">
      <c r="A739" t="s">
        <v>767</v>
      </c>
      <c r="B739" t="s">
        <v>38</v>
      </c>
      <c r="C739" t="s">
        <v>39</v>
      </c>
      <c r="D739" t="s">
        <v>11</v>
      </c>
      <c r="E739">
        <v>54575.43</v>
      </c>
      <c r="F739">
        <v>1</v>
      </c>
      <c r="G739">
        <v>54575.43</v>
      </c>
      <c r="H739" s="1">
        <v>46184</v>
      </c>
      <c r="I739" t="s">
        <v>22</v>
      </c>
    </row>
    <row r="740" spans="1:9" x14ac:dyDescent="0.3">
      <c r="A740" t="s">
        <v>768</v>
      </c>
      <c r="B740" t="s">
        <v>38</v>
      </c>
      <c r="C740" t="s">
        <v>39</v>
      </c>
      <c r="D740" t="s">
        <v>16</v>
      </c>
      <c r="E740">
        <v>9610.7999999999993</v>
      </c>
      <c r="F740">
        <v>4</v>
      </c>
      <c r="G740">
        <v>38443.199999999997</v>
      </c>
      <c r="H740" s="1">
        <v>46358</v>
      </c>
      <c r="I740" t="s">
        <v>12</v>
      </c>
    </row>
    <row r="741" spans="1:9" x14ac:dyDescent="0.3">
      <c r="A741" t="s">
        <v>769</v>
      </c>
      <c r="B741" t="s">
        <v>14</v>
      </c>
      <c r="C741" t="s">
        <v>15</v>
      </c>
      <c r="D741" t="s">
        <v>47</v>
      </c>
      <c r="E741">
        <v>3585.6</v>
      </c>
      <c r="F741">
        <v>3</v>
      </c>
      <c r="G741">
        <v>10756.8</v>
      </c>
      <c r="H741" s="1">
        <v>46254</v>
      </c>
      <c r="I741" t="s">
        <v>22</v>
      </c>
    </row>
    <row r="742" spans="1:9" x14ac:dyDescent="0.3">
      <c r="A742" t="s">
        <v>770</v>
      </c>
      <c r="B742" t="s">
        <v>24</v>
      </c>
      <c r="C742" t="s">
        <v>25</v>
      </c>
      <c r="D742" t="s">
        <v>31</v>
      </c>
      <c r="E742">
        <v>1095.4100000000001</v>
      </c>
      <c r="F742">
        <v>1</v>
      </c>
      <c r="G742">
        <v>1095.4100000000001</v>
      </c>
      <c r="H742" s="1">
        <v>46150</v>
      </c>
      <c r="I742" t="s">
        <v>27</v>
      </c>
    </row>
    <row r="743" spans="1:9" x14ac:dyDescent="0.3">
      <c r="A743" t="s">
        <v>771</v>
      </c>
      <c r="B743" t="s">
        <v>24</v>
      </c>
      <c r="C743" t="s">
        <v>25</v>
      </c>
      <c r="D743" t="s">
        <v>31</v>
      </c>
      <c r="E743">
        <v>985.35</v>
      </c>
      <c r="F743">
        <v>3</v>
      </c>
      <c r="G743">
        <v>2956.05</v>
      </c>
      <c r="H743" s="1">
        <v>46181</v>
      </c>
      <c r="I743" t="s">
        <v>12</v>
      </c>
    </row>
    <row r="744" spans="1:9" x14ac:dyDescent="0.3">
      <c r="A744" t="s">
        <v>772</v>
      </c>
      <c r="B744" t="s">
        <v>9</v>
      </c>
      <c r="C744" t="s">
        <v>10</v>
      </c>
      <c r="D744" t="s">
        <v>11</v>
      </c>
      <c r="E744">
        <v>64352</v>
      </c>
      <c r="F744">
        <v>3</v>
      </c>
      <c r="G744">
        <v>193056</v>
      </c>
      <c r="H744" s="1">
        <v>46216</v>
      </c>
      <c r="I744" t="s">
        <v>27</v>
      </c>
    </row>
    <row r="745" spans="1:9" x14ac:dyDescent="0.3">
      <c r="A745" t="s">
        <v>773</v>
      </c>
      <c r="B745" t="s">
        <v>24</v>
      </c>
      <c r="C745" t="s">
        <v>25</v>
      </c>
      <c r="D745" t="s">
        <v>33</v>
      </c>
      <c r="E745">
        <v>10361.9</v>
      </c>
      <c r="F745">
        <v>1</v>
      </c>
      <c r="G745">
        <v>10361.9</v>
      </c>
      <c r="H745" s="1">
        <v>46112</v>
      </c>
      <c r="I745" t="s">
        <v>12</v>
      </c>
    </row>
    <row r="746" spans="1:9" x14ac:dyDescent="0.3">
      <c r="A746" t="s">
        <v>774</v>
      </c>
      <c r="B746" t="s">
        <v>14</v>
      </c>
      <c r="C746" t="s">
        <v>15</v>
      </c>
      <c r="D746" t="s">
        <v>26</v>
      </c>
      <c r="E746">
        <v>5416.71</v>
      </c>
      <c r="F746">
        <v>2</v>
      </c>
      <c r="G746">
        <v>10833.42</v>
      </c>
      <c r="H746" s="1">
        <v>46213</v>
      </c>
      <c r="I746" t="s">
        <v>17</v>
      </c>
    </row>
    <row r="747" spans="1:9" x14ac:dyDescent="0.3">
      <c r="A747" t="s">
        <v>775</v>
      </c>
      <c r="B747" t="s">
        <v>14</v>
      </c>
      <c r="C747" t="s">
        <v>15</v>
      </c>
      <c r="D747" t="s">
        <v>26</v>
      </c>
      <c r="E747">
        <v>36133.949999999997</v>
      </c>
      <c r="F747">
        <v>2</v>
      </c>
      <c r="G747">
        <v>72267.899999999994</v>
      </c>
      <c r="H747" s="1">
        <v>46276</v>
      </c>
      <c r="I747" t="s">
        <v>12</v>
      </c>
    </row>
    <row r="748" spans="1:9" x14ac:dyDescent="0.3">
      <c r="A748" t="s">
        <v>776</v>
      </c>
      <c r="B748" t="s">
        <v>38</v>
      </c>
      <c r="C748" t="s">
        <v>39</v>
      </c>
      <c r="D748" t="s">
        <v>47</v>
      </c>
      <c r="E748">
        <v>2076.35</v>
      </c>
      <c r="F748">
        <v>1</v>
      </c>
      <c r="G748">
        <v>2076.35</v>
      </c>
      <c r="H748" s="1">
        <v>46111</v>
      </c>
      <c r="I748" t="s">
        <v>27</v>
      </c>
    </row>
    <row r="749" spans="1:9" x14ac:dyDescent="0.3">
      <c r="A749" t="s">
        <v>777</v>
      </c>
      <c r="B749" t="s">
        <v>14</v>
      </c>
      <c r="C749" t="s">
        <v>15</v>
      </c>
      <c r="D749" t="s">
        <v>16</v>
      </c>
      <c r="E749">
        <v>10553.82</v>
      </c>
      <c r="F749">
        <v>1</v>
      </c>
      <c r="G749">
        <v>10553.82</v>
      </c>
      <c r="H749" s="1">
        <v>46236</v>
      </c>
      <c r="I749" t="s">
        <v>27</v>
      </c>
    </row>
    <row r="750" spans="1:9" x14ac:dyDescent="0.3">
      <c r="A750" t="s">
        <v>778</v>
      </c>
      <c r="B750" t="s">
        <v>9</v>
      </c>
      <c r="C750" t="s">
        <v>10</v>
      </c>
      <c r="D750" t="s">
        <v>16</v>
      </c>
      <c r="E750">
        <v>3921.99</v>
      </c>
      <c r="F750">
        <v>5</v>
      </c>
      <c r="G750">
        <v>19609.95</v>
      </c>
      <c r="H750" s="1">
        <v>46281</v>
      </c>
      <c r="I750" t="s">
        <v>17</v>
      </c>
    </row>
    <row r="751" spans="1:9" x14ac:dyDescent="0.3">
      <c r="A751" t="s">
        <v>779</v>
      </c>
      <c r="B751" t="s">
        <v>9</v>
      </c>
      <c r="C751" t="s">
        <v>10</v>
      </c>
      <c r="D751" t="s">
        <v>16</v>
      </c>
      <c r="E751">
        <v>2643.17</v>
      </c>
      <c r="F751">
        <v>3</v>
      </c>
      <c r="G751">
        <v>7929.51</v>
      </c>
      <c r="H751" s="1">
        <v>46212</v>
      </c>
      <c r="I751" t="s">
        <v>27</v>
      </c>
    </row>
    <row r="752" spans="1:9" x14ac:dyDescent="0.3">
      <c r="A752" t="s">
        <v>780</v>
      </c>
      <c r="B752" t="s">
        <v>38</v>
      </c>
      <c r="C752" t="s">
        <v>39</v>
      </c>
      <c r="D752" t="s">
        <v>26</v>
      </c>
      <c r="E752">
        <v>5158.0600000000004</v>
      </c>
      <c r="F752">
        <v>1</v>
      </c>
      <c r="G752">
        <v>5158.0600000000004</v>
      </c>
      <c r="H752" s="1">
        <v>46129</v>
      </c>
      <c r="I752" t="s">
        <v>27</v>
      </c>
    </row>
    <row r="753" spans="1:9" x14ac:dyDescent="0.3">
      <c r="A753" t="s">
        <v>781</v>
      </c>
      <c r="B753" t="s">
        <v>38</v>
      </c>
      <c r="C753" t="s">
        <v>39</v>
      </c>
      <c r="D753" t="s">
        <v>11</v>
      </c>
      <c r="E753">
        <v>38755.61</v>
      </c>
      <c r="F753">
        <v>1</v>
      </c>
      <c r="G753">
        <v>38755.61</v>
      </c>
      <c r="H753" s="1">
        <v>46225</v>
      </c>
      <c r="I753" t="s">
        <v>12</v>
      </c>
    </row>
    <row r="754" spans="1:9" x14ac:dyDescent="0.3">
      <c r="A754" t="s">
        <v>782</v>
      </c>
      <c r="B754" t="s">
        <v>38</v>
      </c>
      <c r="C754" t="s">
        <v>39</v>
      </c>
      <c r="D754" t="s">
        <v>33</v>
      </c>
      <c r="E754">
        <v>9179.5300000000007</v>
      </c>
      <c r="F754">
        <v>2</v>
      </c>
      <c r="G754">
        <v>18359.060000000001</v>
      </c>
      <c r="H754" s="1">
        <v>46312</v>
      </c>
      <c r="I754" t="s">
        <v>12</v>
      </c>
    </row>
    <row r="755" spans="1:9" x14ac:dyDescent="0.3">
      <c r="A755" t="s">
        <v>783</v>
      </c>
      <c r="B755" t="s">
        <v>14</v>
      </c>
      <c r="C755" t="s">
        <v>15</v>
      </c>
      <c r="D755" t="s">
        <v>47</v>
      </c>
      <c r="E755">
        <v>6035.37</v>
      </c>
      <c r="F755">
        <v>4</v>
      </c>
      <c r="G755">
        <v>24141.48</v>
      </c>
      <c r="H755" s="1">
        <v>46103</v>
      </c>
      <c r="I755" t="s">
        <v>27</v>
      </c>
    </row>
    <row r="756" spans="1:9" x14ac:dyDescent="0.3">
      <c r="A756" t="s">
        <v>784</v>
      </c>
      <c r="B756" t="s">
        <v>20</v>
      </c>
      <c r="C756" t="s">
        <v>21</v>
      </c>
      <c r="D756" t="s">
        <v>31</v>
      </c>
      <c r="E756">
        <v>2349.7800000000002</v>
      </c>
      <c r="F756">
        <v>8</v>
      </c>
      <c r="G756">
        <v>18798.240000000002</v>
      </c>
      <c r="H756" s="1">
        <v>46232</v>
      </c>
      <c r="I756" t="s">
        <v>12</v>
      </c>
    </row>
    <row r="757" spans="1:9" x14ac:dyDescent="0.3">
      <c r="A757" t="s">
        <v>785</v>
      </c>
      <c r="B757" t="s">
        <v>38</v>
      </c>
      <c r="C757" t="s">
        <v>39</v>
      </c>
      <c r="D757" t="s">
        <v>16</v>
      </c>
      <c r="E757">
        <v>4322.6499999999996</v>
      </c>
      <c r="F757">
        <v>1</v>
      </c>
      <c r="G757">
        <v>4322.6499999999996</v>
      </c>
      <c r="H757" s="1">
        <v>46271</v>
      </c>
      <c r="I757" t="s">
        <v>12</v>
      </c>
    </row>
    <row r="758" spans="1:9" x14ac:dyDescent="0.3">
      <c r="A758" t="s">
        <v>786</v>
      </c>
      <c r="B758" t="s">
        <v>38</v>
      </c>
      <c r="C758" t="s">
        <v>39</v>
      </c>
      <c r="D758" t="s">
        <v>11</v>
      </c>
      <c r="E758">
        <v>20214.79</v>
      </c>
      <c r="F758">
        <v>3</v>
      </c>
      <c r="G758">
        <v>60644.37</v>
      </c>
      <c r="H758" s="1">
        <v>46140</v>
      </c>
      <c r="I758" t="s">
        <v>12</v>
      </c>
    </row>
    <row r="759" spans="1:9" x14ac:dyDescent="0.3">
      <c r="A759" t="s">
        <v>787</v>
      </c>
      <c r="B759" t="s">
        <v>29</v>
      </c>
      <c r="C759" t="s">
        <v>30</v>
      </c>
      <c r="D759" t="s">
        <v>33</v>
      </c>
      <c r="E759">
        <v>5779.49</v>
      </c>
      <c r="F759">
        <v>4</v>
      </c>
      <c r="G759">
        <v>23117.96</v>
      </c>
      <c r="H759" s="1">
        <v>46164</v>
      </c>
      <c r="I759" t="s">
        <v>22</v>
      </c>
    </row>
    <row r="760" spans="1:9" x14ac:dyDescent="0.3">
      <c r="A760" t="s">
        <v>788</v>
      </c>
      <c r="B760" t="s">
        <v>24</v>
      </c>
      <c r="C760" t="s">
        <v>25</v>
      </c>
      <c r="D760" t="s">
        <v>33</v>
      </c>
      <c r="E760">
        <v>18578.599999999999</v>
      </c>
      <c r="F760">
        <v>1</v>
      </c>
      <c r="G760">
        <v>18578.599999999999</v>
      </c>
      <c r="H760" s="1">
        <v>46347</v>
      </c>
      <c r="I760" t="s">
        <v>22</v>
      </c>
    </row>
    <row r="761" spans="1:9" x14ac:dyDescent="0.3">
      <c r="A761" t="s">
        <v>789</v>
      </c>
      <c r="B761" t="s">
        <v>14</v>
      </c>
      <c r="C761" t="s">
        <v>15</v>
      </c>
      <c r="D761" t="s">
        <v>33</v>
      </c>
      <c r="E761">
        <v>3552.05</v>
      </c>
      <c r="F761">
        <v>1</v>
      </c>
      <c r="G761">
        <v>3552.05</v>
      </c>
      <c r="H761" s="1">
        <v>46155</v>
      </c>
      <c r="I761" t="s">
        <v>22</v>
      </c>
    </row>
    <row r="762" spans="1:9" x14ac:dyDescent="0.3">
      <c r="A762" t="s">
        <v>790</v>
      </c>
      <c r="B762" t="s">
        <v>20</v>
      </c>
      <c r="C762" t="s">
        <v>21</v>
      </c>
      <c r="D762" t="s">
        <v>31</v>
      </c>
      <c r="E762">
        <v>4941.47</v>
      </c>
      <c r="F762">
        <v>10</v>
      </c>
      <c r="G762">
        <v>49414.7</v>
      </c>
      <c r="H762" s="1">
        <v>46241</v>
      </c>
      <c r="I762" t="s">
        <v>22</v>
      </c>
    </row>
    <row r="763" spans="1:9" x14ac:dyDescent="0.3">
      <c r="A763" t="s">
        <v>791</v>
      </c>
      <c r="B763" t="s">
        <v>24</v>
      </c>
      <c r="C763" t="s">
        <v>25</v>
      </c>
      <c r="D763" t="s">
        <v>11</v>
      </c>
      <c r="E763">
        <v>25057.42</v>
      </c>
      <c r="F763">
        <v>2</v>
      </c>
      <c r="G763">
        <v>50114.84</v>
      </c>
      <c r="H763" s="1">
        <v>46077</v>
      </c>
      <c r="I763" t="s">
        <v>12</v>
      </c>
    </row>
    <row r="764" spans="1:9" x14ac:dyDescent="0.3">
      <c r="A764" t="s">
        <v>792</v>
      </c>
      <c r="B764" t="s">
        <v>24</v>
      </c>
      <c r="C764" t="s">
        <v>25</v>
      </c>
      <c r="D764" t="s">
        <v>11</v>
      </c>
      <c r="E764">
        <v>7358.56</v>
      </c>
      <c r="F764">
        <v>3</v>
      </c>
      <c r="G764">
        <v>22075.68</v>
      </c>
      <c r="H764" s="1">
        <v>46360</v>
      </c>
      <c r="I764" t="s">
        <v>27</v>
      </c>
    </row>
    <row r="765" spans="1:9" x14ac:dyDescent="0.3">
      <c r="A765" t="s">
        <v>793</v>
      </c>
      <c r="B765" t="s">
        <v>24</v>
      </c>
      <c r="C765" t="s">
        <v>25</v>
      </c>
      <c r="D765" t="s">
        <v>11</v>
      </c>
      <c r="E765">
        <v>19252.830000000002</v>
      </c>
      <c r="F765">
        <v>1</v>
      </c>
      <c r="G765">
        <v>19252.830000000002</v>
      </c>
      <c r="H765" s="1">
        <v>46240</v>
      </c>
      <c r="I765" t="s">
        <v>17</v>
      </c>
    </row>
    <row r="766" spans="1:9" x14ac:dyDescent="0.3">
      <c r="A766" t="s">
        <v>794</v>
      </c>
      <c r="B766" t="s">
        <v>29</v>
      </c>
      <c r="C766" t="s">
        <v>30</v>
      </c>
      <c r="D766" t="s">
        <v>11</v>
      </c>
      <c r="E766">
        <v>5134.3500000000004</v>
      </c>
      <c r="F766">
        <v>1</v>
      </c>
      <c r="G766">
        <v>5134.3500000000004</v>
      </c>
      <c r="H766" s="1">
        <v>46300</v>
      </c>
      <c r="I766" t="s">
        <v>27</v>
      </c>
    </row>
    <row r="767" spans="1:9" x14ac:dyDescent="0.3">
      <c r="A767" t="s">
        <v>795</v>
      </c>
      <c r="B767" t="s">
        <v>24</v>
      </c>
      <c r="C767" t="s">
        <v>25</v>
      </c>
      <c r="D767" t="s">
        <v>11</v>
      </c>
      <c r="E767">
        <v>59420.21</v>
      </c>
      <c r="F767">
        <v>1</v>
      </c>
      <c r="G767">
        <v>59420.21</v>
      </c>
      <c r="H767" s="1">
        <v>46242</v>
      </c>
      <c r="I767" t="s">
        <v>12</v>
      </c>
    </row>
    <row r="768" spans="1:9" x14ac:dyDescent="0.3">
      <c r="A768" t="s">
        <v>796</v>
      </c>
      <c r="B768" t="s">
        <v>24</v>
      </c>
      <c r="C768" t="s">
        <v>25</v>
      </c>
      <c r="D768" t="s">
        <v>33</v>
      </c>
      <c r="E768">
        <v>10397.290000000001</v>
      </c>
      <c r="F768">
        <v>1</v>
      </c>
      <c r="G768">
        <v>10397.290000000001</v>
      </c>
      <c r="H768" s="1">
        <v>46152</v>
      </c>
      <c r="I768" t="s">
        <v>17</v>
      </c>
    </row>
    <row r="769" spans="1:9" x14ac:dyDescent="0.3">
      <c r="A769" t="s">
        <v>797</v>
      </c>
      <c r="B769" t="s">
        <v>24</v>
      </c>
      <c r="C769" t="s">
        <v>25</v>
      </c>
      <c r="D769" t="s">
        <v>11</v>
      </c>
      <c r="E769">
        <v>25804.41</v>
      </c>
      <c r="F769">
        <v>2</v>
      </c>
      <c r="G769">
        <v>51608.82</v>
      </c>
      <c r="H769" s="1">
        <v>46147</v>
      </c>
      <c r="I769" t="s">
        <v>22</v>
      </c>
    </row>
    <row r="770" spans="1:9" x14ac:dyDescent="0.3">
      <c r="A770" t="s">
        <v>798</v>
      </c>
      <c r="B770" t="s">
        <v>24</v>
      </c>
      <c r="C770" t="s">
        <v>25</v>
      </c>
      <c r="D770" t="s">
        <v>11</v>
      </c>
      <c r="E770">
        <v>49924.08</v>
      </c>
      <c r="F770">
        <v>1</v>
      </c>
      <c r="G770">
        <v>49924.08</v>
      </c>
      <c r="H770" s="1">
        <v>46278</v>
      </c>
      <c r="I770" t="s">
        <v>12</v>
      </c>
    </row>
    <row r="771" spans="1:9" x14ac:dyDescent="0.3">
      <c r="A771" t="s">
        <v>799</v>
      </c>
      <c r="B771" t="s">
        <v>20</v>
      </c>
      <c r="C771" t="s">
        <v>21</v>
      </c>
      <c r="D771" t="s">
        <v>47</v>
      </c>
      <c r="E771">
        <v>5082.1099999999997</v>
      </c>
      <c r="F771">
        <v>5</v>
      </c>
      <c r="G771">
        <v>25410.55</v>
      </c>
      <c r="H771" s="1">
        <v>46336</v>
      </c>
      <c r="I771" t="s">
        <v>12</v>
      </c>
    </row>
    <row r="772" spans="1:9" x14ac:dyDescent="0.3">
      <c r="A772" t="s">
        <v>800</v>
      </c>
      <c r="B772" t="s">
        <v>38</v>
      </c>
      <c r="C772" t="s">
        <v>39</v>
      </c>
      <c r="D772" t="s">
        <v>26</v>
      </c>
      <c r="E772">
        <v>47053.73</v>
      </c>
      <c r="F772">
        <v>2</v>
      </c>
      <c r="G772">
        <v>94107.46</v>
      </c>
      <c r="H772" s="1">
        <v>46069</v>
      </c>
      <c r="I772" t="s">
        <v>27</v>
      </c>
    </row>
    <row r="773" spans="1:9" x14ac:dyDescent="0.3">
      <c r="A773" t="s">
        <v>801</v>
      </c>
      <c r="B773" t="s">
        <v>14</v>
      </c>
      <c r="C773" t="s">
        <v>15</v>
      </c>
      <c r="D773" t="s">
        <v>47</v>
      </c>
      <c r="E773">
        <v>7693.96</v>
      </c>
      <c r="F773">
        <v>5</v>
      </c>
      <c r="G773">
        <v>38469.800000000003</v>
      </c>
      <c r="H773" s="1">
        <v>46331</v>
      </c>
      <c r="I773" t="s">
        <v>12</v>
      </c>
    </row>
    <row r="774" spans="1:9" x14ac:dyDescent="0.3">
      <c r="A774" t="s">
        <v>802</v>
      </c>
      <c r="B774" t="s">
        <v>20</v>
      </c>
      <c r="C774" t="s">
        <v>21</v>
      </c>
      <c r="D774" t="s">
        <v>26</v>
      </c>
      <c r="E774">
        <v>34353.51</v>
      </c>
      <c r="F774">
        <v>2</v>
      </c>
      <c r="G774">
        <v>68707.02</v>
      </c>
      <c r="H774" s="1">
        <v>46325</v>
      </c>
      <c r="I774" t="s">
        <v>12</v>
      </c>
    </row>
    <row r="775" spans="1:9" x14ac:dyDescent="0.3">
      <c r="A775" t="s">
        <v>803</v>
      </c>
      <c r="B775" t="s">
        <v>9</v>
      </c>
      <c r="C775" t="s">
        <v>10</v>
      </c>
      <c r="D775" t="s">
        <v>33</v>
      </c>
      <c r="E775">
        <v>16410.97</v>
      </c>
      <c r="F775">
        <v>2</v>
      </c>
      <c r="G775">
        <v>32821.94</v>
      </c>
      <c r="H775" s="1">
        <v>46062</v>
      </c>
      <c r="I775" t="s">
        <v>27</v>
      </c>
    </row>
    <row r="776" spans="1:9" x14ac:dyDescent="0.3">
      <c r="A776" t="s">
        <v>804</v>
      </c>
      <c r="B776" t="s">
        <v>24</v>
      </c>
      <c r="C776" t="s">
        <v>25</v>
      </c>
      <c r="D776" t="s">
        <v>26</v>
      </c>
      <c r="E776">
        <v>39828.83</v>
      </c>
      <c r="F776">
        <v>2</v>
      </c>
      <c r="G776">
        <v>79657.66</v>
      </c>
      <c r="H776" s="1">
        <v>46062</v>
      </c>
      <c r="I776" t="s">
        <v>12</v>
      </c>
    </row>
    <row r="777" spans="1:9" x14ac:dyDescent="0.3">
      <c r="A777" t="s">
        <v>805</v>
      </c>
      <c r="B777" t="s">
        <v>9</v>
      </c>
      <c r="C777" t="s">
        <v>10</v>
      </c>
      <c r="D777" t="s">
        <v>16</v>
      </c>
      <c r="E777">
        <v>6048.25</v>
      </c>
      <c r="F777">
        <v>1</v>
      </c>
      <c r="G777">
        <v>6048.25</v>
      </c>
      <c r="H777" s="1">
        <v>46276</v>
      </c>
      <c r="I777" t="s">
        <v>17</v>
      </c>
    </row>
    <row r="778" spans="1:9" x14ac:dyDescent="0.3">
      <c r="A778" t="s">
        <v>806</v>
      </c>
      <c r="B778" t="s">
        <v>20</v>
      </c>
      <c r="C778" t="s">
        <v>21</v>
      </c>
      <c r="D778" t="s">
        <v>26</v>
      </c>
      <c r="E778">
        <v>35518.46</v>
      </c>
      <c r="F778">
        <v>3</v>
      </c>
      <c r="G778">
        <v>106555.38</v>
      </c>
      <c r="H778" s="1">
        <v>46330</v>
      </c>
      <c r="I778" t="s">
        <v>22</v>
      </c>
    </row>
    <row r="779" spans="1:9" x14ac:dyDescent="0.3">
      <c r="A779" t="s">
        <v>807</v>
      </c>
      <c r="B779" t="s">
        <v>24</v>
      </c>
      <c r="C779" t="s">
        <v>25</v>
      </c>
      <c r="D779" t="s">
        <v>16</v>
      </c>
      <c r="E779">
        <v>1215.6300000000001</v>
      </c>
      <c r="F779">
        <v>4</v>
      </c>
      <c r="G779">
        <v>4862.5200000000004</v>
      </c>
      <c r="H779" s="1">
        <v>46166</v>
      </c>
      <c r="I779" t="s">
        <v>17</v>
      </c>
    </row>
    <row r="780" spans="1:9" x14ac:dyDescent="0.3">
      <c r="A780" t="s">
        <v>808</v>
      </c>
      <c r="B780" t="s">
        <v>9</v>
      </c>
      <c r="C780" t="s">
        <v>10</v>
      </c>
      <c r="D780" t="s">
        <v>31</v>
      </c>
      <c r="E780">
        <v>3802.2</v>
      </c>
      <c r="F780">
        <v>2</v>
      </c>
      <c r="G780">
        <v>7604.4</v>
      </c>
      <c r="H780" s="1">
        <v>46256</v>
      </c>
      <c r="I780" t="s">
        <v>27</v>
      </c>
    </row>
    <row r="781" spans="1:9" x14ac:dyDescent="0.3">
      <c r="A781" t="s">
        <v>809</v>
      </c>
      <c r="B781" t="s">
        <v>9</v>
      </c>
      <c r="C781" t="s">
        <v>10</v>
      </c>
      <c r="D781" t="s">
        <v>16</v>
      </c>
      <c r="E781">
        <v>11553.45</v>
      </c>
      <c r="F781">
        <v>3</v>
      </c>
      <c r="G781">
        <v>34660.35</v>
      </c>
      <c r="H781" s="1">
        <v>46387</v>
      </c>
      <c r="I781" t="s">
        <v>27</v>
      </c>
    </row>
    <row r="782" spans="1:9" x14ac:dyDescent="0.3">
      <c r="A782" t="s">
        <v>810</v>
      </c>
      <c r="B782" t="s">
        <v>38</v>
      </c>
      <c r="C782" t="s">
        <v>39</v>
      </c>
      <c r="D782" t="s">
        <v>11</v>
      </c>
      <c r="E782">
        <v>7105.13</v>
      </c>
      <c r="F782">
        <v>2</v>
      </c>
      <c r="G782">
        <v>14210.26</v>
      </c>
      <c r="H782" s="1">
        <v>46140</v>
      </c>
      <c r="I782" t="s">
        <v>27</v>
      </c>
    </row>
    <row r="783" spans="1:9" x14ac:dyDescent="0.3">
      <c r="A783" t="s">
        <v>811</v>
      </c>
      <c r="B783" t="s">
        <v>29</v>
      </c>
      <c r="C783" t="s">
        <v>30</v>
      </c>
      <c r="D783" t="s">
        <v>47</v>
      </c>
      <c r="E783">
        <v>6705.31</v>
      </c>
      <c r="F783">
        <v>2</v>
      </c>
      <c r="G783">
        <v>13410.62</v>
      </c>
      <c r="H783" s="1">
        <v>46105</v>
      </c>
      <c r="I783" t="s">
        <v>27</v>
      </c>
    </row>
    <row r="784" spans="1:9" x14ac:dyDescent="0.3">
      <c r="A784" t="s">
        <v>812</v>
      </c>
      <c r="B784" t="s">
        <v>14</v>
      </c>
      <c r="C784" t="s">
        <v>15</v>
      </c>
      <c r="D784" t="s">
        <v>31</v>
      </c>
      <c r="E784">
        <v>4668.25</v>
      </c>
      <c r="F784">
        <v>2</v>
      </c>
      <c r="G784">
        <v>9336.5</v>
      </c>
      <c r="H784" s="1">
        <v>46384</v>
      </c>
      <c r="I784" t="s">
        <v>22</v>
      </c>
    </row>
    <row r="785" spans="1:9" x14ac:dyDescent="0.3">
      <c r="A785" t="s">
        <v>813</v>
      </c>
      <c r="B785" t="s">
        <v>20</v>
      </c>
      <c r="C785" t="s">
        <v>21</v>
      </c>
      <c r="D785" t="s">
        <v>11</v>
      </c>
      <c r="E785">
        <v>17583.22</v>
      </c>
      <c r="F785">
        <v>3</v>
      </c>
      <c r="G785">
        <v>52749.66</v>
      </c>
      <c r="H785" s="1">
        <v>46125</v>
      </c>
      <c r="I785" t="s">
        <v>17</v>
      </c>
    </row>
    <row r="786" spans="1:9" x14ac:dyDescent="0.3">
      <c r="A786" t="s">
        <v>814</v>
      </c>
      <c r="B786" t="s">
        <v>29</v>
      </c>
      <c r="C786" t="s">
        <v>30</v>
      </c>
      <c r="D786" t="s">
        <v>31</v>
      </c>
      <c r="E786">
        <v>2647.82</v>
      </c>
      <c r="F786">
        <v>3</v>
      </c>
      <c r="G786">
        <v>7943.46</v>
      </c>
      <c r="H786" s="1">
        <v>46195</v>
      </c>
      <c r="I786" t="s">
        <v>27</v>
      </c>
    </row>
    <row r="787" spans="1:9" x14ac:dyDescent="0.3">
      <c r="A787" t="s">
        <v>815</v>
      </c>
      <c r="B787" t="s">
        <v>38</v>
      </c>
      <c r="C787" t="s">
        <v>39</v>
      </c>
      <c r="D787" t="s">
        <v>47</v>
      </c>
      <c r="E787">
        <v>7430.08</v>
      </c>
      <c r="F787">
        <v>3</v>
      </c>
      <c r="G787">
        <v>22290.240000000002</v>
      </c>
      <c r="H787" s="1">
        <v>46184</v>
      </c>
      <c r="I787" t="s">
        <v>22</v>
      </c>
    </row>
    <row r="788" spans="1:9" x14ac:dyDescent="0.3">
      <c r="A788" t="s">
        <v>816</v>
      </c>
      <c r="B788" t="s">
        <v>9</v>
      </c>
      <c r="C788" t="s">
        <v>10</v>
      </c>
      <c r="D788" t="s">
        <v>31</v>
      </c>
      <c r="E788">
        <v>4803.12</v>
      </c>
      <c r="F788">
        <v>3</v>
      </c>
      <c r="G788">
        <v>14409.36</v>
      </c>
      <c r="H788" s="1">
        <v>46213</v>
      </c>
      <c r="I788" t="s">
        <v>22</v>
      </c>
    </row>
    <row r="789" spans="1:9" x14ac:dyDescent="0.3">
      <c r="A789" t="s">
        <v>817</v>
      </c>
      <c r="B789" t="s">
        <v>38</v>
      </c>
      <c r="C789" t="s">
        <v>39</v>
      </c>
      <c r="D789" t="s">
        <v>26</v>
      </c>
      <c r="E789">
        <v>7266.24</v>
      </c>
      <c r="F789">
        <v>2</v>
      </c>
      <c r="G789">
        <v>14532.48</v>
      </c>
      <c r="H789" s="1">
        <v>46121</v>
      </c>
      <c r="I789" t="s">
        <v>22</v>
      </c>
    </row>
    <row r="790" spans="1:9" x14ac:dyDescent="0.3">
      <c r="A790" t="s">
        <v>818</v>
      </c>
      <c r="B790" t="s">
        <v>9</v>
      </c>
      <c r="C790" t="s">
        <v>10</v>
      </c>
      <c r="D790" t="s">
        <v>47</v>
      </c>
      <c r="E790">
        <v>2857.13</v>
      </c>
      <c r="F790">
        <v>1</v>
      </c>
      <c r="G790">
        <v>2857.13</v>
      </c>
      <c r="H790" s="1">
        <v>46270</v>
      </c>
      <c r="I790" t="s">
        <v>12</v>
      </c>
    </row>
    <row r="791" spans="1:9" x14ac:dyDescent="0.3">
      <c r="A791" t="s">
        <v>819</v>
      </c>
      <c r="B791" t="s">
        <v>20</v>
      </c>
      <c r="C791" t="s">
        <v>21</v>
      </c>
      <c r="D791" t="s">
        <v>11</v>
      </c>
      <c r="E791">
        <v>52602.33</v>
      </c>
      <c r="F791">
        <v>2</v>
      </c>
      <c r="G791">
        <v>105204.66</v>
      </c>
      <c r="H791" s="1">
        <v>46275</v>
      </c>
      <c r="I791" t="s">
        <v>17</v>
      </c>
    </row>
    <row r="792" spans="1:9" x14ac:dyDescent="0.3">
      <c r="A792" t="s">
        <v>820</v>
      </c>
      <c r="B792" t="s">
        <v>24</v>
      </c>
      <c r="C792" t="s">
        <v>25</v>
      </c>
      <c r="D792" t="s">
        <v>47</v>
      </c>
      <c r="E792">
        <v>1850.31</v>
      </c>
      <c r="F792">
        <v>3</v>
      </c>
      <c r="G792">
        <v>5550.93</v>
      </c>
      <c r="H792" s="1">
        <v>46096</v>
      </c>
      <c r="I792" t="s">
        <v>12</v>
      </c>
    </row>
    <row r="793" spans="1:9" x14ac:dyDescent="0.3">
      <c r="A793" t="s">
        <v>821</v>
      </c>
      <c r="B793" t="s">
        <v>14</v>
      </c>
      <c r="C793" t="s">
        <v>15</v>
      </c>
      <c r="D793" t="s">
        <v>31</v>
      </c>
      <c r="E793">
        <v>1657.61</v>
      </c>
      <c r="F793">
        <v>5</v>
      </c>
      <c r="G793">
        <v>8288.0499999999993</v>
      </c>
      <c r="H793" s="1">
        <v>46198</v>
      </c>
      <c r="I793" t="s">
        <v>27</v>
      </c>
    </row>
    <row r="794" spans="1:9" x14ac:dyDescent="0.3">
      <c r="A794" t="s">
        <v>822</v>
      </c>
      <c r="B794" t="s">
        <v>38</v>
      </c>
      <c r="C794" t="s">
        <v>39</v>
      </c>
      <c r="D794" t="s">
        <v>11</v>
      </c>
      <c r="E794">
        <v>2528.1999999999998</v>
      </c>
      <c r="F794">
        <v>2</v>
      </c>
      <c r="G794">
        <v>5056.3999999999996</v>
      </c>
      <c r="H794" s="1">
        <v>46043</v>
      </c>
      <c r="I794" t="s">
        <v>12</v>
      </c>
    </row>
    <row r="795" spans="1:9" x14ac:dyDescent="0.3">
      <c r="A795" t="s">
        <v>823</v>
      </c>
      <c r="B795" t="s">
        <v>24</v>
      </c>
      <c r="C795" t="s">
        <v>25</v>
      </c>
      <c r="D795" t="s">
        <v>26</v>
      </c>
      <c r="E795">
        <v>8522.56</v>
      </c>
      <c r="F795">
        <v>1</v>
      </c>
      <c r="G795">
        <v>8522.56</v>
      </c>
      <c r="H795" s="1">
        <v>46103</v>
      </c>
      <c r="I795" t="s">
        <v>12</v>
      </c>
    </row>
    <row r="796" spans="1:9" x14ac:dyDescent="0.3">
      <c r="A796" t="s">
        <v>824</v>
      </c>
      <c r="B796" t="s">
        <v>24</v>
      </c>
      <c r="C796" t="s">
        <v>25</v>
      </c>
      <c r="D796" t="s">
        <v>33</v>
      </c>
      <c r="E796">
        <v>11377.89</v>
      </c>
      <c r="F796">
        <v>2</v>
      </c>
      <c r="G796">
        <v>22755.78</v>
      </c>
      <c r="H796" s="1">
        <v>46383</v>
      </c>
      <c r="I796" t="s">
        <v>12</v>
      </c>
    </row>
    <row r="797" spans="1:9" x14ac:dyDescent="0.3">
      <c r="A797" t="s">
        <v>825</v>
      </c>
      <c r="B797" t="s">
        <v>38</v>
      </c>
      <c r="C797" t="s">
        <v>39</v>
      </c>
      <c r="D797" t="s">
        <v>31</v>
      </c>
      <c r="E797">
        <v>3282.8</v>
      </c>
      <c r="F797">
        <v>8</v>
      </c>
      <c r="G797">
        <v>26262.400000000001</v>
      </c>
      <c r="H797" s="1">
        <v>46207</v>
      </c>
      <c r="I797" t="s">
        <v>22</v>
      </c>
    </row>
    <row r="798" spans="1:9" x14ac:dyDescent="0.3">
      <c r="A798" t="s">
        <v>826</v>
      </c>
      <c r="B798" t="s">
        <v>24</v>
      </c>
      <c r="C798" t="s">
        <v>25</v>
      </c>
      <c r="D798" t="s">
        <v>16</v>
      </c>
      <c r="E798">
        <v>7892.27</v>
      </c>
      <c r="F798">
        <v>2</v>
      </c>
      <c r="G798">
        <v>15784.54</v>
      </c>
      <c r="H798" s="1">
        <v>46250</v>
      </c>
      <c r="I798" t="s">
        <v>22</v>
      </c>
    </row>
    <row r="799" spans="1:9" x14ac:dyDescent="0.3">
      <c r="A799" t="s">
        <v>827</v>
      </c>
      <c r="B799" t="s">
        <v>24</v>
      </c>
      <c r="C799" t="s">
        <v>25</v>
      </c>
      <c r="D799" t="s">
        <v>31</v>
      </c>
      <c r="E799">
        <v>3902.88</v>
      </c>
      <c r="F799">
        <v>2</v>
      </c>
      <c r="G799">
        <v>7805.76</v>
      </c>
      <c r="H799" s="1">
        <v>46347</v>
      </c>
      <c r="I799" t="s">
        <v>17</v>
      </c>
    </row>
    <row r="800" spans="1:9" x14ac:dyDescent="0.3">
      <c r="A800" t="s">
        <v>828</v>
      </c>
      <c r="B800" t="s">
        <v>20</v>
      </c>
      <c r="C800" t="s">
        <v>21</v>
      </c>
      <c r="D800" t="s">
        <v>16</v>
      </c>
      <c r="E800">
        <v>5158.79</v>
      </c>
      <c r="F800">
        <v>5</v>
      </c>
      <c r="G800">
        <v>25793.95</v>
      </c>
      <c r="H800" s="1">
        <v>46283</v>
      </c>
      <c r="I800" t="s">
        <v>22</v>
      </c>
    </row>
    <row r="801" spans="1:9" x14ac:dyDescent="0.3">
      <c r="A801" t="s">
        <v>829</v>
      </c>
      <c r="B801" t="s">
        <v>20</v>
      </c>
      <c r="C801" t="s">
        <v>21</v>
      </c>
      <c r="D801" t="s">
        <v>26</v>
      </c>
      <c r="E801">
        <v>14401.05</v>
      </c>
      <c r="F801">
        <v>3</v>
      </c>
      <c r="G801">
        <v>43203.15</v>
      </c>
      <c r="H801" s="1">
        <v>46312</v>
      </c>
      <c r="I801" t="s">
        <v>12</v>
      </c>
    </row>
    <row r="802" spans="1:9" x14ac:dyDescent="0.3">
      <c r="A802" t="s">
        <v>830</v>
      </c>
      <c r="B802" t="s">
        <v>9</v>
      </c>
      <c r="C802" t="s">
        <v>10</v>
      </c>
      <c r="D802" t="s">
        <v>26</v>
      </c>
      <c r="E802">
        <v>1763.45</v>
      </c>
      <c r="F802">
        <v>3</v>
      </c>
      <c r="G802">
        <v>5290.35</v>
      </c>
      <c r="H802" s="1">
        <v>46282</v>
      </c>
      <c r="I802" t="s">
        <v>12</v>
      </c>
    </row>
    <row r="803" spans="1:9" x14ac:dyDescent="0.3">
      <c r="A803" t="s">
        <v>831</v>
      </c>
      <c r="B803" t="s">
        <v>38</v>
      </c>
      <c r="C803" t="s">
        <v>39</v>
      </c>
      <c r="D803" t="s">
        <v>26</v>
      </c>
      <c r="E803">
        <v>11124.86</v>
      </c>
      <c r="F803">
        <v>3</v>
      </c>
      <c r="G803">
        <v>33374.58</v>
      </c>
      <c r="H803" s="1">
        <v>46205</v>
      </c>
      <c r="I803" t="s">
        <v>17</v>
      </c>
    </row>
    <row r="804" spans="1:9" x14ac:dyDescent="0.3">
      <c r="A804" t="s">
        <v>832</v>
      </c>
      <c r="B804" t="s">
        <v>29</v>
      </c>
      <c r="C804" t="s">
        <v>30</v>
      </c>
      <c r="D804" t="s">
        <v>11</v>
      </c>
      <c r="E804">
        <v>23979.18</v>
      </c>
      <c r="F804">
        <v>3</v>
      </c>
      <c r="G804">
        <v>71937.539999999994</v>
      </c>
      <c r="H804" s="1">
        <v>46253</v>
      </c>
      <c r="I804" t="s">
        <v>27</v>
      </c>
    </row>
    <row r="805" spans="1:9" x14ac:dyDescent="0.3">
      <c r="A805" t="s">
        <v>833</v>
      </c>
      <c r="B805" t="s">
        <v>20</v>
      </c>
      <c r="C805" t="s">
        <v>21</v>
      </c>
      <c r="D805" t="s">
        <v>26</v>
      </c>
      <c r="E805">
        <v>9732.14</v>
      </c>
      <c r="F805">
        <v>3</v>
      </c>
      <c r="G805">
        <v>29196.42</v>
      </c>
      <c r="H805" s="1">
        <v>46128</v>
      </c>
      <c r="I805" t="s">
        <v>22</v>
      </c>
    </row>
    <row r="806" spans="1:9" x14ac:dyDescent="0.3">
      <c r="A806" t="s">
        <v>834</v>
      </c>
      <c r="B806" t="s">
        <v>24</v>
      </c>
      <c r="C806" t="s">
        <v>25</v>
      </c>
      <c r="D806" t="s">
        <v>26</v>
      </c>
      <c r="E806">
        <v>1987.08</v>
      </c>
      <c r="F806">
        <v>2</v>
      </c>
      <c r="G806">
        <v>3974.16</v>
      </c>
      <c r="H806" s="1">
        <v>46348</v>
      </c>
      <c r="I806" t="s">
        <v>27</v>
      </c>
    </row>
    <row r="807" spans="1:9" x14ac:dyDescent="0.3">
      <c r="A807" t="s">
        <v>835</v>
      </c>
      <c r="B807" t="s">
        <v>24</v>
      </c>
      <c r="C807" t="s">
        <v>25</v>
      </c>
      <c r="D807" t="s">
        <v>26</v>
      </c>
      <c r="E807">
        <v>8714.93</v>
      </c>
      <c r="F807">
        <v>1</v>
      </c>
      <c r="G807">
        <v>8714.93</v>
      </c>
      <c r="H807" s="1">
        <v>46088</v>
      </c>
      <c r="I807" t="s">
        <v>27</v>
      </c>
    </row>
    <row r="808" spans="1:9" x14ac:dyDescent="0.3">
      <c r="A808" t="s">
        <v>836</v>
      </c>
      <c r="B808" t="s">
        <v>20</v>
      </c>
      <c r="C808" t="s">
        <v>21</v>
      </c>
      <c r="D808" t="s">
        <v>11</v>
      </c>
      <c r="E808">
        <v>50224.59</v>
      </c>
      <c r="F808">
        <v>2</v>
      </c>
      <c r="G808">
        <v>100449.18</v>
      </c>
      <c r="H808" s="1">
        <v>46345</v>
      </c>
      <c r="I808" t="s">
        <v>17</v>
      </c>
    </row>
    <row r="809" spans="1:9" x14ac:dyDescent="0.3">
      <c r="A809" t="s">
        <v>837</v>
      </c>
      <c r="B809" t="s">
        <v>24</v>
      </c>
      <c r="C809" t="s">
        <v>25</v>
      </c>
      <c r="D809" t="s">
        <v>16</v>
      </c>
      <c r="E809">
        <v>7666.15</v>
      </c>
      <c r="F809">
        <v>2</v>
      </c>
      <c r="G809">
        <v>15332.3</v>
      </c>
      <c r="H809" s="1">
        <v>46343</v>
      </c>
      <c r="I809" t="s">
        <v>12</v>
      </c>
    </row>
    <row r="810" spans="1:9" x14ac:dyDescent="0.3">
      <c r="A810" t="s">
        <v>838</v>
      </c>
      <c r="B810" t="s">
        <v>14</v>
      </c>
      <c r="C810" t="s">
        <v>15</v>
      </c>
      <c r="D810" t="s">
        <v>31</v>
      </c>
      <c r="E810">
        <v>4681.63</v>
      </c>
      <c r="F810">
        <v>8</v>
      </c>
      <c r="G810">
        <v>37453.040000000001</v>
      </c>
      <c r="H810" s="1">
        <v>46074</v>
      </c>
      <c r="I810" t="s">
        <v>27</v>
      </c>
    </row>
    <row r="811" spans="1:9" x14ac:dyDescent="0.3">
      <c r="A811" t="s">
        <v>839</v>
      </c>
      <c r="B811" t="s">
        <v>29</v>
      </c>
      <c r="C811" t="s">
        <v>30</v>
      </c>
      <c r="D811" t="s">
        <v>11</v>
      </c>
      <c r="E811">
        <v>60024.09</v>
      </c>
      <c r="F811">
        <v>2</v>
      </c>
      <c r="G811">
        <v>120048.18</v>
      </c>
      <c r="H811" s="1">
        <v>46282</v>
      </c>
      <c r="I811" t="s">
        <v>27</v>
      </c>
    </row>
    <row r="812" spans="1:9" x14ac:dyDescent="0.3">
      <c r="A812" t="s">
        <v>840</v>
      </c>
      <c r="B812" t="s">
        <v>24</v>
      </c>
      <c r="C812" t="s">
        <v>25</v>
      </c>
      <c r="D812" t="s">
        <v>31</v>
      </c>
      <c r="E812">
        <v>2860.39</v>
      </c>
      <c r="F812">
        <v>10</v>
      </c>
      <c r="G812">
        <v>28603.9</v>
      </c>
      <c r="H812" s="1">
        <v>46384</v>
      </c>
      <c r="I812" t="s">
        <v>27</v>
      </c>
    </row>
    <row r="813" spans="1:9" x14ac:dyDescent="0.3">
      <c r="A813" t="s">
        <v>841</v>
      </c>
      <c r="B813" t="s">
        <v>24</v>
      </c>
      <c r="C813" t="s">
        <v>25</v>
      </c>
      <c r="D813" t="s">
        <v>16</v>
      </c>
      <c r="E813">
        <v>1909.41</v>
      </c>
      <c r="F813">
        <v>3</v>
      </c>
      <c r="G813">
        <v>5728.23</v>
      </c>
      <c r="H813" s="1">
        <v>46231</v>
      </c>
      <c r="I813" t="s">
        <v>12</v>
      </c>
    </row>
    <row r="814" spans="1:9" x14ac:dyDescent="0.3">
      <c r="A814" t="s">
        <v>842</v>
      </c>
      <c r="B814" t="s">
        <v>29</v>
      </c>
      <c r="C814" t="s">
        <v>30</v>
      </c>
      <c r="D814" t="s">
        <v>47</v>
      </c>
      <c r="E814">
        <v>4556.17</v>
      </c>
      <c r="F814">
        <v>3</v>
      </c>
      <c r="G814">
        <v>13668.51</v>
      </c>
      <c r="H814" s="1">
        <v>46147</v>
      </c>
      <c r="I814" t="s">
        <v>22</v>
      </c>
    </row>
    <row r="815" spans="1:9" x14ac:dyDescent="0.3">
      <c r="A815" t="s">
        <v>843</v>
      </c>
      <c r="B815" t="s">
        <v>20</v>
      </c>
      <c r="C815" t="s">
        <v>21</v>
      </c>
      <c r="D815" t="s">
        <v>31</v>
      </c>
      <c r="E815">
        <v>354.9</v>
      </c>
      <c r="F815">
        <v>10</v>
      </c>
      <c r="G815">
        <v>3549</v>
      </c>
      <c r="H815" s="1">
        <v>46343</v>
      </c>
      <c r="I815" t="s">
        <v>27</v>
      </c>
    </row>
    <row r="816" spans="1:9" x14ac:dyDescent="0.3">
      <c r="A816" t="s">
        <v>844</v>
      </c>
      <c r="B816" t="s">
        <v>24</v>
      </c>
      <c r="C816" t="s">
        <v>25</v>
      </c>
      <c r="D816" t="s">
        <v>47</v>
      </c>
      <c r="E816">
        <v>3503.99</v>
      </c>
      <c r="F816">
        <v>3</v>
      </c>
      <c r="G816">
        <v>10511.97</v>
      </c>
      <c r="H816" s="1">
        <v>46210</v>
      </c>
      <c r="I816" t="s">
        <v>27</v>
      </c>
    </row>
    <row r="817" spans="1:9" x14ac:dyDescent="0.3">
      <c r="A817" t="s">
        <v>845</v>
      </c>
      <c r="B817" t="s">
        <v>29</v>
      </c>
      <c r="C817" t="s">
        <v>30</v>
      </c>
      <c r="D817" t="s">
        <v>16</v>
      </c>
      <c r="E817">
        <v>4866.03</v>
      </c>
      <c r="F817">
        <v>2</v>
      </c>
      <c r="G817">
        <v>9732.06</v>
      </c>
      <c r="H817" s="1">
        <v>46067</v>
      </c>
      <c r="I817" t="s">
        <v>22</v>
      </c>
    </row>
    <row r="818" spans="1:9" x14ac:dyDescent="0.3">
      <c r="A818" t="s">
        <v>846</v>
      </c>
      <c r="B818" t="s">
        <v>29</v>
      </c>
      <c r="C818" t="s">
        <v>30</v>
      </c>
      <c r="D818" t="s">
        <v>47</v>
      </c>
      <c r="E818">
        <v>3479.73</v>
      </c>
      <c r="F818">
        <v>2</v>
      </c>
      <c r="G818">
        <v>6959.46</v>
      </c>
      <c r="H818" s="1">
        <v>46113</v>
      </c>
      <c r="I818" t="s">
        <v>27</v>
      </c>
    </row>
    <row r="819" spans="1:9" x14ac:dyDescent="0.3">
      <c r="A819" t="s">
        <v>847</v>
      </c>
      <c r="B819" t="s">
        <v>14</v>
      </c>
      <c r="C819" t="s">
        <v>15</v>
      </c>
      <c r="D819" t="s">
        <v>16</v>
      </c>
      <c r="E819">
        <v>3573.96</v>
      </c>
      <c r="F819">
        <v>5</v>
      </c>
      <c r="G819">
        <v>17869.8</v>
      </c>
      <c r="H819" s="1">
        <v>46272</v>
      </c>
      <c r="I819" t="s">
        <v>22</v>
      </c>
    </row>
    <row r="820" spans="1:9" x14ac:dyDescent="0.3">
      <c r="A820" t="s">
        <v>848</v>
      </c>
      <c r="B820" t="s">
        <v>20</v>
      </c>
      <c r="C820" t="s">
        <v>21</v>
      </c>
      <c r="D820" t="s">
        <v>16</v>
      </c>
      <c r="E820">
        <v>8324.2199999999993</v>
      </c>
      <c r="F820">
        <v>4</v>
      </c>
      <c r="G820">
        <v>33296.879999999997</v>
      </c>
      <c r="H820" s="1">
        <v>46189</v>
      </c>
      <c r="I820" t="s">
        <v>17</v>
      </c>
    </row>
    <row r="821" spans="1:9" x14ac:dyDescent="0.3">
      <c r="A821" t="s">
        <v>849</v>
      </c>
      <c r="B821" t="s">
        <v>38</v>
      </c>
      <c r="C821" t="s">
        <v>39</v>
      </c>
      <c r="D821" t="s">
        <v>26</v>
      </c>
      <c r="E821">
        <v>42206.28</v>
      </c>
      <c r="F821">
        <v>1</v>
      </c>
      <c r="G821">
        <v>42206.28</v>
      </c>
      <c r="H821" s="1">
        <v>46102</v>
      </c>
      <c r="I821" t="s">
        <v>12</v>
      </c>
    </row>
    <row r="822" spans="1:9" x14ac:dyDescent="0.3">
      <c r="A822" t="s">
        <v>850</v>
      </c>
      <c r="B822" t="s">
        <v>24</v>
      </c>
      <c r="C822" t="s">
        <v>25</v>
      </c>
      <c r="D822" t="s">
        <v>33</v>
      </c>
      <c r="E822">
        <v>15439.78</v>
      </c>
      <c r="F822">
        <v>2</v>
      </c>
      <c r="G822">
        <v>30879.56</v>
      </c>
      <c r="H822" s="1">
        <v>46314</v>
      </c>
      <c r="I822" t="s">
        <v>27</v>
      </c>
    </row>
    <row r="823" spans="1:9" x14ac:dyDescent="0.3">
      <c r="A823" t="s">
        <v>851</v>
      </c>
      <c r="B823" t="s">
        <v>20</v>
      </c>
      <c r="C823" t="s">
        <v>21</v>
      </c>
      <c r="D823" t="s">
        <v>16</v>
      </c>
      <c r="E823">
        <v>7644.7</v>
      </c>
      <c r="F823">
        <v>2</v>
      </c>
      <c r="G823">
        <v>15289.4</v>
      </c>
      <c r="H823" s="1">
        <v>46067</v>
      </c>
      <c r="I823" t="s">
        <v>22</v>
      </c>
    </row>
    <row r="824" spans="1:9" x14ac:dyDescent="0.3">
      <c r="A824" t="s">
        <v>852</v>
      </c>
      <c r="B824" t="s">
        <v>38</v>
      </c>
      <c r="C824" t="s">
        <v>39</v>
      </c>
      <c r="D824" t="s">
        <v>16</v>
      </c>
      <c r="E824">
        <v>6598.63</v>
      </c>
      <c r="F824">
        <v>4</v>
      </c>
      <c r="G824">
        <v>26394.52</v>
      </c>
      <c r="H824" s="1">
        <v>46102</v>
      </c>
      <c r="I824" t="s">
        <v>27</v>
      </c>
    </row>
    <row r="825" spans="1:9" x14ac:dyDescent="0.3">
      <c r="A825" t="s">
        <v>853</v>
      </c>
      <c r="B825" t="s">
        <v>20</v>
      </c>
      <c r="C825" t="s">
        <v>21</v>
      </c>
      <c r="D825" t="s">
        <v>26</v>
      </c>
      <c r="E825">
        <v>2523.12</v>
      </c>
      <c r="F825">
        <v>1</v>
      </c>
      <c r="G825">
        <v>2523.12</v>
      </c>
      <c r="H825" s="1">
        <v>46192</v>
      </c>
      <c r="I825" t="s">
        <v>12</v>
      </c>
    </row>
    <row r="826" spans="1:9" x14ac:dyDescent="0.3">
      <c r="A826" t="s">
        <v>854</v>
      </c>
      <c r="B826" t="s">
        <v>9</v>
      </c>
      <c r="C826" t="s">
        <v>10</v>
      </c>
      <c r="D826" t="s">
        <v>47</v>
      </c>
      <c r="E826">
        <v>5811.18</v>
      </c>
      <c r="F826">
        <v>4</v>
      </c>
      <c r="G826">
        <v>23244.720000000001</v>
      </c>
      <c r="H826" s="1">
        <v>46037</v>
      </c>
      <c r="I826" t="s">
        <v>12</v>
      </c>
    </row>
    <row r="827" spans="1:9" x14ac:dyDescent="0.3">
      <c r="A827" t="s">
        <v>855</v>
      </c>
      <c r="B827" t="s">
        <v>24</v>
      </c>
      <c r="C827" t="s">
        <v>25</v>
      </c>
      <c r="D827" t="s">
        <v>11</v>
      </c>
      <c r="E827">
        <v>41237.730000000003</v>
      </c>
      <c r="F827">
        <v>3</v>
      </c>
      <c r="G827">
        <v>123713.19</v>
      </c>
      <c r="H827" s="1">
        <v>46164</v>
      </c>
      <c r="I827" t="s">
        <v>12</v>
      </c>
    </row>
    <row r="828" spans="1:9" x14ac:dyDescent="0.3">
      <c r="A828" t="s">
        <v>856</v>
      </c>
      <c r="B828" t="s">
        <v>20</v>
      </c>
      <c r="C828" t="s">
        <v>21</v>
      </c>
      <c r="D828" t="s">
        <v>16</v>
      </c>
      <c r="E828">
        <v>3467.67</v>
      </c>
      <c r="F828">
        <v>2</v>
      </c>
      <c r="G828">
        <v>6935.34</v>
      </c>
      <c r="H828" s="1">
        <v>46355</v>
      </c>
      <c r="I828" t="s">
        <v>17</v>
      </c>
    </row>
    <row r="829" spans="1:9" x14ac:dyDescent="0.3">
      <c r="A829" t="s">
        <v>857</v>
      </c>
      <c r="B829" t="s">
        <v>38</v>
      </c>
      <c r="C829" t="s">
        <v>39</v>
      </c>
      <c r="D829" t="s">
        <v>16</v>
      </c>
      <c r="E829">
        <v>4135.75</v>
      </c>
      <c r="F829">
        <v>1</v>
      </c>
      <c r="G829">
        <v>4135.75</v>
      </c>
      <c r="H829" s="1">
        <v>46366</v>
      </c>
      <c r="I829" t="s">
        <v>27</v>
      </c>
    </row>
    <row r="830" spans="1:9" x14ac:dyDescent="0.3">
      <c r="A830" t="s">
        <v>858</v>
      </c>
      <c r="B830" t="s">
        <v>9</v>
      </c>
      <c r="C830" t="s">
        <v>10</v>
      </c>
      <c r="D830" t="s">
        <v>33</v>
      </c>
      <c r="E830">
        <v>18731.45</v>
      </c>
      <c r="F830">
        <v>3</v>
      </c>
      <c r="G830">
        <v>56194.35</v>
      </c>
      <c r="H830" s="1">
        <v>46341</v>
      </c>
      <c r="I830" t="s">
        <v>12</v>
      </c>
    </row>
    <row r="831" spans="1:9" x14ac:dyDescent="0.3">
      <c r="A831" t="s">
        <v>859</v>
      </c>
      <c r="B831" t="s">
        <v>38</v>
      </c>
      <c r="C831" t="s">
        <v>39</v>
      </c>
      <c r="D831" t="s">
        <v>16</v>
      </c>
      <c r="E831">
        <v>7605.04</v>
      </c>
      <c r="F831">
        <v>2</v>
      </c>
      <c r="G831">
        <v>15210.08</v>
      </c>
      <c r="H831" s="1">
        <v>46141</v>
      </c>
      <c r="I831" t="s">
        <v>12</v>
      </c>
    </row>
    <row r="832" spans="1:9" x14ac:dyDescent="0.3">
      <c r="A832" t="s">
        <v>860</v>
      </c>
      <c r="B832" t="s">
        <v>20</v>
      </c>
      <c r="C832" t="s">
        <v>21</v>
      </c>
      <c r="D832" t="s">
        <v>16</v>
      </c>
      <c r="E832">
        <v>5868.18</v>
      </c>
      <c r="F832">
        <v>5</v>
      </c>
      <c r="G832">
        <v>29340.9</v>
      </c>
      <c r="H832" s="1">
        <v>46046</v>
      </c>
      <c r="I832" t="s">
        <v>27</v>
      </c>
    </row>
    <row r="833" spans="1:9" x14ac:dyDescent="0.3">
      <c r="A833" t="s">
        <v>861</v>
      </c>
      <c r="B833" t="s">
        <v>14</v>
      </c>
      <c r="C833" t="s">
        <v>15</v>
      </c>
      <c r="D833" t="s">
        <v>33</v>
      </c>
      <c r="E833">
        <v>12532.16</v>
      </c>
      <c r="F833">
        <v>4</v>
      </c>
      <c r="G833">
        <v>50128.639999999999</v>
      </c>
      <c r="H833" s="1">
        <v>46320</v>
      </c>
      <c r="I833" t="s">
        <v>17</v>
      </c>
    </row>
    <row r="834" spans="1:9" x14ac:dyDescent="0.3">
      <c r="A834" t="s">
        <v>862</v>
      </c>
      <c r="B834" t="s">
        <v>38</v>
      </c>
      <c r="C834" t="s">
        <v>39</v>
      </c>
      <c r="D834" t="s">
        <v>16</v>
      </c>
      <c r="E834">
        <v>5140.79</v>
      </c>
      <c r="F834">
        <v>5</v>
      </c>
      <c r="G834">
        <v>25703.95</v>
      </c>
      <c r="H834" s="1">
        <v>46159</v>
      </c>
      <c r="I834" t="s">
        <v>17</v>
      </c>
    </row>
    <row r="835" spans="1:9" x14ac:dyDescent="0.3">
      <c r="A835" t="s">
        <v>863</v>
      </c>
      <c r="B835" t="s">
        <v>20</v>
      </c>
      <c r="C835" t="s">
        <v>21</v>
      </c>
      <c r="D835" t="s">
        <v>11</v>
      </c>
      <c r="E835">
        <v>35687.519999999997</v>
      </c>
      <c r="F835">
        <v>2</v>
      </c>
      <c r="G835">
        <v>71375.039999999994</v>
      </c>
      <c r="H835" s="1">
        <v>46296</v>
      </c>
      <c r="I835" t="s">
        <v>12</v>
      </c>
    </row>
    <row r="836" spans="1:9" x14ac:dyDescent="0.3">
      <c r="A836" t="s">
        <v>864</v>
      </c>
      <c r="B836" t="s">
        <v>20</v>
      </c>
      <c r="C836" t="s">
        <v>21</v>
      </c>
      <c r="D836" t="s">
        <v>11</v>
      </c>
      <c r="E836">
        <v>22340.95</v>
      </c>
      <c r="F836">
        <v>3</v>
      </c>
      <c r="G836">
        <v>67022.850000000006</v>
      </c>
      <c r="H836" s="1">
        <v>46066</v>
      </c>
      <c r="I836" t="s">
        <v>22</v>
      </c>
    </row>
    <row r="837" spans="1:9" x14ac:dyDescent="0.3">
      <c r="A837" t="s">
        <v>865</v>
      </c>
      <c r="B837" t="s">
        <v>14</v>
      </c>
      <c r="C837" t="s">
        <v>15</v>
      </c>
      <c r="D837" t="s">
        <v>11</v>
      </c>
      <c r="E837">
        <v>33437.11</v>
      </c>
      <c r="F837">
        <v>1</v>
      </c>
      <c r="G837">
        <v>33437.11</v>
      </c>
      <c r="H837" s="1">
        <v>46266</v>
      </c>
      <c r="I837" t="s">
        <v>22</v>
      </c>
    </row>
    <row r="838" spans="1:9" x14ac:dyDescent="0.3">
      <c r="A838" t="s">
        <v>866</v>
      </c>
      <c r="B838" t="s">
        <v>9</v>
      </c>
      <c r="C838" t="s">
        <v>10</v>
      </c>
      <c r="D838" t="s">
        <v>11</v>
      </c>
      <c r="E838">
        <v>51670.94</v>
      </c>
      <c r="F838">
        <v>1</v>
      </c>
      <c r="G838">
        <v>51670.94</v>
      </c>
      <c r="H838" s="1">
        <v>46237</v>
      </c>
      <c r="I838" t="s">
        <v>22</v>
      </c>
    </row>
    <row r="839" spans="1:9" x14ac:dyDescent="0.3">
      <c r="A839" t="s">
        <v>867</v>
      </c>
      <c r="B839" t="s">
        <v>29</v>
      </c>
      <c r="C839" t="s">
        <v>30</v>
      </c>
      <c r="D839" t="s">
        <v>16</v>
      </c>
      <c r="E839">
        <v>767.32</v>
      </c>
      <c r="F839">
        <v>1</v>
      </c>
      <c r="G839">
        <v>767.32</v>
      </c>
      <c r="H839" s="1">
        <v>46358</v>
      </c>
      <c r="I839" t="s">
        <v>27</v>
      </c>
    </row>
    <row r="840" spans="1:9" x14ac:dyDescent="0.3">
      <c r="A840" t="s">
        <v>868</v>
      </c>
      <c r="B840" t="s">
        <v>14</v>
      </c>
      <c r="C840" t="s">
        <v>15</v>
      </c>
      <c r="D840" t="s">
        <v>47</v>
      </c>
      <c r="E840">
        <v>6380.72</v>
      </c>
      <c r="F840">
        <v>4</v>
      </c>
      <c r="G840">
        <v>25522.880000000001</v>
      </c>
      <c r="H840" s="1">
        <v>46060</v>
      </c>
      <c r="I840" t="s">
        <v>17</v>
      </c>
    </row>
    <row r="841" spans="1:9" x14ac:dyDescent="0.3">
      <c r="A841" t="s">
        <v>869</v>
      </c>
      <c r="B841" t="s">
        <v>14</v>
      </c>
      <c r="C841" t="s">
        <v>15</v>
      </c>
      <c r="D841" t="s">
        <v>47</v>
      </c>
      <c r="E841">
        <v>2335.54</v>
      </c>
      <c r="F841">
        <v>3</v>
      </c>
      <c r="G841">
        <v>7006.62</v>
      </c>
      <c r="H841" s="1">
        <v>46171</v>
      </c>
      <c r="I841" t="s">
        <v>27</v>
      </c>
    </row>
    <row r="842" spans="1:9" x14ac:dyDescent="0.3">
      <c r="A842" t="s">
        <v>870</v>
      </c>
      <c r="B842" t="s">
        <v>24</v>
      </c>
      <c r="C842" t="s">
        <v>25</v>
      </c>
      <c r="D842" t="s">
        <v>11</v>
      </c>
      <c r="E842">
        <v>51445.94</v>
      </c>
      <c r="F842">
        <v>1</v>
      </c>
      <c r="G842">
        <v>51445.94</v>
      </c>
      <c r="H842" s="1">
        <v>46384</v>
      </c>
      <c r="I842" t="s">
        <v>12</v>
      </c>
    </row>
    <row r="843" spans="1:9" x14ac:dyDescent="0.3">
      <c r="A843" t="s">
        <v>871</v>
      </c>
      <c r="B843" t="s">
        <v>9</v>
      </c>
      <c r="C843" t="s">
        <v>10</v>
      </c>
      <c r="D843" t="s">
        <v>16</v>
      </c>
      <c r="E843">
        <v>7819.89</v>
      </c>
      <c r="F843">
        <v>2</v>
      </c>
      <c r="G843">
        <v>15639.78</v>
      </c>
      <c r="H843" s="1">
        <v>46165</v>
      </c>
      <c r="I843" t="s">
        <v>17</v>
      </c>
    </row>
    <row r="844" spans="1:9" x14ac:dyDescent="0.3">
      <c r="A844" t="s">
        <v>872</v>
      </c>
      <c r="B844" t="s">
        <v>14</v>
      </c>
      <c r="C844" t="s">
        <v>15</v>
      </c>
      <c r="D844" t="s">
        <v>11</v>
      </c>
      <c r="E844">
        <v>49225</v>
      </c>
      <c r="F844">
        <v>2</v>
      </c>
      <c r="G844">
        <v>98450</v>
      </c>
      <c r="H844" s="1">
        <v>46263</v>
      </c>
      <c r="I844" t="s">
        <v>17</v>
      </c>
    </row>
    <row r="845" spans="1:9" x14ac:dyDescent="0.3">
      <c r="A845" t="s">
        <v>873</v>
      </c>
      <c r="B845" t="s">
        <v>14</v>
      </c>
      <c r="C845" t="s">
        <v>15</v>
      </c>
      <c r="D845" t="s">
        <v>33</v>
      </c>
      <c r="E845">
        <v>12280.14</v>
      </c>
      <c r="F845">
        <v>1</v>
      </c>
      <c r="G845">
        <v>12280.14</v>
      </c>
      <c r="H845" s="1">
        <v>46081</v>
      </c>
      <c r="I845" t="s">
        <v>27</v>
      </c>
    </row>
    <row r="846" spans="1:9" x14ac:dyDescent="0.3">
      <c r="A846" t="s">
        <v>874</v>
      </c>
      <c r="B846" t="s">
        <v>24</v>
      </c>
      <c r="C846" t="s">
        <v>25</v>
      </c>
      <c r="D846" t="s">
        <v>11</v>
      </c>
      <c r="E846">
        <v>71965.36</v>
      </c>
      <c r="F846">
        <v>2</v>
      </c>
      <c r="G846">
        <v>143930.72</v>
      </c>
      <c r="H846" s="1">
        <v>46288</v>
      </c>
      <c r="I846" t="s">
        <v>27</v>
      </c>
    </row>
    <row r="847" spans="1:9" x14ac:dyDescent="0.3">
      <c r="A847" t="s">
        <v>875</v>
      </c>
      <c r="B847" t="s">
        <v>29</v>
      </c>
      <c r="C847" t="s">
        <v>30</v>
      </c>
      <c r="D847" t="s">
        <v>26</v>
      </c>
      <c r="E847">
        <v>25908.86</v>
      </c>
      <c r="F847">
        <v>2</v>
      </c>
      <c r="G847">
        <v>51817.72</v>
      </c>
      <c r="H847" s="1">
        <v>46123</v>
      </c>
      <c r="I847" t="s">
        <v>22</v>
      </c>
    </row>
    <row r="848" spans="1:9" x14ac:dyDescent="0.3">
      <c r="A848" t="s">
        <v>876</v>
      </c>
      <c r="B848" t="s">
        <v>38</v>
      </c>
      <c r="C848" t="s">
        <v>39</v>
      </c>
      <c r="D848" t="s">
        <v>31</v>
      </c>
      <c r="E848">
        <v>3674.98</v>
      </c>
      <c r="F848">
        <v>3</v>
      </c>
      <c r="G848">
        <v>11024.94</v>
      </c>
      <c r="H848" s="1">
        <v>46231</v>
      </c>
      <c r="I848" t="s">
        <v>27</v>
      </c>
    </row>
    <row r="849" spans="1:9" x14ac:dyDescent="0.3">
      <c r="A849" t="s">
        <v>877</v>
      </c>
      <c r="B849" t="s">
        <v>20</v>
      </c>
      <c r="C849" t="s">
        <v>21</v>
      </c>
      <c r="D849" t="s">
        <v>26</v>
      </c>
      <c r="E849">
        <v>35567.019999999997</v>
      </c>
      <c r="F849">
        <v>1</v>
      </c>
      <c r="G849">
        <v>35567.019999999997</v>
      </c>
      <c r="H849" s="1">
        <v>46344</v>
      </c>
      <c r="I849" t="s">
        <v>27</v>
      </c>
    </row>
    <row r="850" spans="1:9" x14ac:dyDescent="0.3">
      <c r="A850" t="s">
        <v>878</v>
      </c>
      <c r="B850" t="s">
        <v>24</v>
      </c>
      <c r="C850" t="s">
        <v>25</v>
      </c>
      <c r="D850" t="s">
        <v>31</v>
      </c>
      <c r="E850">
        <v>1219.52</v>
      </c>
      <c r="F850">
        <v>4</v>
      </c>
      <c r="G850">
        <v>4878.08</v>
      </c>
      <c r="H850" s="1">
        <v>46264</v>
      </c>
      <c r="I850" t="s">
        <v>12</v>
      </c>
    </row>
    <row r="851" spans="1:9" x14ac:dyDescent="0.3">
      <c r="A851" t="s">
        <v>879</v>
      </c>
      <c r="B851" t="s">
        <v>29</v>
      </c>
      <c r="C851" t="s">
        <v>30</v>
      </c>
      <c r="D851" t="s">
        <v>47</v>
      </c>
      <c r="E851">
        <v>2338.12</v>
      </c>
      <c r="F851">
        <v>3</v>
      </c>
      <c r="G851">
        <v>7014.36</v>
      </c>
      <c r="H851" s="1">
        <v>46196</v>
      </c>
      <c r="I851" t="s">
        <v>17</v>
      </c>
    </row>
    <row r="852" spans="1:9" x14ac:dyDescent="0.3">
      <c r="A852" t="s">
        <v>880</v>
      </c>
      <c r="B852" t="s">
        <v>24</v>
      </c>
      <c r="C852" t="s">
        <v>25</v>
      </c>
      <c r="D852" t="s">
        <v>31</v>
      </c>
      <c r="E852">
        <v>2148.88</v>
      </c>
      <c r="F852">
        <v>3</v>
      </c>
      <c r="G852">
        <v>6446.64</v>
      </c>
      <c r="H852" s="1">
        <v>46092</v>
      </c>
      <c r="I852" t="s">
        <v>17</v>
      </c>
    </row>
    <row r="853" spans="1:9" x14ac:dyDescent="0.3">
      <c r="A853" t="s">
        <v>881</v>
      </c>
      <c r="B853" t="s">
        <v>24</v>
      </c>
      <c r="C853" t="s">
        <v>25</v>
      </c>
      <c r="D853" t="s">
        <v>33</v>
      </c>
      <c r="E853">
        <v>5770.65</v>
      </c>
      <c r="F853">
        <v>2</v>
      </c>
      <c r="G853">
        <v>11541.3</v>
      </c>
      <c r="H853" s="1">
        <v>46147</v>
      </c>
      <c r="I853" t="s">
        <v>17</v>
      </c>
    </row>
    <row r="854" spans="1:9" x14ac:dyDescent="0.3">
      <c r="A854" t="s">
        <v>882</v>
      </c>
      <c r="B854" t="s">
        <v>9</v>
      </c>
      <c r="C854" t="s">
        <v>10</v>
      </c>
      <c r="D854" t="s">
        <v>16</v>
      </c>
      <c r="E854">
        <v>4590.8900000000003</v>
      </c>
      <c r="F854">
        <v>3</v>
      </c>
      <c r="G854">
        <v>13772.67</v>
      </c>
      <c r="H854" s="1">
        <v>46332</v>
      </c>
      <c r="I854" t="s">
        <v>12</v>
      </c>
    </row>
    <row r="855" spans="1:9" x14ac:dyDescent="0.3">
      <c r="A855" t="s">
        <v>883</v>
      </c>
      <c r="B855" t="s">
        <v>29</v>
      </c>
      <c r="C855" t="s">
        <v>30</v>
      </c>
      <c r="D855" t="s">
        <v>47</v>
      </c>
      <c r="E855">
        <v>3188.59</v>
      </c>
      <c r="F855">
        <v>1</v>
      </c>
      <c r="G855">
        <v>3188.59</v>
      </c>
      <c r="H855" s="1">
        <v>46101</v>
      </c>
      <c r="I855" t="s">
        <v>17</v>
      </c>
    </row>
    <row r="856" spans="1:9" x14ac:dyDescent="0.3">
      <c r="A856" t="s">
        <v>884</v>
      </c>
      <c r="B856" t="s">
        <v>24</v>
      </c>
      <c r="C856" t="s">
        <v>25</v>
      </c>
      <c r="D856" t="s">
        <v>47</v>
      </c>
      <c r="E856">
        <v>4870.53</v>
      </c>
      <c r="F856">
        <v>3</v>
      </c>
      <c r="G856">
        <v>14611.59</v>
      </c>
      <c r="H856" s="1">
        <v>46262</v>
      </c>
      <c r="I856" t="s">
        <v>12</v>
      </c>
    </row>
    <row r="857" spans="1:9" x14ac:dyDescent="0.3">
      <c r="A857" t="s">
        <v>885</v>
      </c>
      <c r="B857" t="s">
        <v>14</v>
      </c>
      <c r="C857" t="s">
        <v>15</v>
      </c>
      <c r="D857" t="s">
        <v>33</v>
      </c>
      <c r="E857">
        <v>4631.83</v>
      </c>
      <c r="F857">
        <v>1</v>
      </c>
      <c r="G857">
        <v>4631.83</v>
      </c>
      <c r="H857" s="1">
        <v>46200</v>
      </c>
      <c r="I857" t="s">
        <v>12</v>
      </c>
    </row>
    <row r="858" spans="1:9" x14ac:dyDescent="0.3">
      <c r="A858" t="s">
        <v>886</v>
      </c>
      <c r="B858" t="s">
        <v>9</v>
      </c>
      <c r="C858" t="s">
        <v>10</v>
      </c>
      <c r="D858" t="s">
        <v>31</v>
      </c>
      <c r="E858">
        <v>4031.24</v>
      </c>
      <c r="F858">
        <v>2</v>
      </c>
      <c r="G858">
        <v>8062.48</v>
      </c>
      <c r="H858" s="1">
        <v>46140</v>
      </c>
      <c r="I858" t="s">
        <v>22</v>
      </c>
    </row>
    <row r="859" spans="1:9" x14ac:dyDescent="0.3">
      <c r="A859" t="s">
        <v>887</v>
      </c>
      <c r="B859" t="s">
        <v>9</v>
      </c>
      <c r="C859" t="s">
        <v>10</v>
      </c>
      <c r="D859" t="s">
        <v>31</v>
      </c>
      <c r="E859">
        <v>2215.8000000000002</v>
      </c>
      <c r="F859">
        <v>3</v>
      </c>
      <c r="G859">
        <v>6647.4</v>
      </c>
      <c r="H859" s="1">
        <v>46284</v>
      </c>
      <c r="I859" t="s">
        <v>17</v>
      </c>
    </row>
    <row r="860" spans="1:9" x14ac:dyDescent="0.3">
      <c r="A860" t="s">
        <v>888</v>
      </c>
      <c r="B860" t="s">
        <v>38</v>
      </c>
      <c r="C860" t="s">
        <v>39</v>
      </c>
      <c r="D860" t="s">
        <v>31</v>
      </c>
      <c r="E860">
        <v>3545.91</v>
      </c>
      <c r="F860">
        <v>3</v>
      </c>
      <c r="G860">
        <v>10637.73</v>
      </c>
      <c r="H860" s="1">
        <v>46155</v>
      </c>
      <c r="I860" t="s">
        <v>12</v>
      </c>
    </row>
    <row r="861" spans="1:9" x14ac:dyDescent="0.3">
      <c r="A861" t="s">
        <v>889</v>
      </c>
      <c r="B861" t="s">
        <v>14</v>
      </c>
      <c r="C861" t="s">
        <v>15</v>
      </c>
      <c r="D861" t="s">
        <v>31</v>
      </c>
      <c r="E861">
        <v>453.14</v>
      </c>
      <c r="F861">
        <v>1</v>
      </c>
      <c r="G861">
        <v>453.14</v>
      </c>
      <c r="H861" s="1">
        <v>46127</v>
      </c>
      <c r="I861" t="s">
        <v>17</v>
      </c>
    </row>
    <row r="862" spans="1:9" x14ac:dyDescent="0.3">
      <c r="A862" t="s">
        <v>890</v>
      </c>
      <c r="B862" t="s">
        <v>9</v>
      </c>
      <c r="C862" t="s">
        <v>10</v>
      </c>
      <c r="D862" t="s">
        <v>26</v>
      </c>
      <c r="E862">
        <v>24028.3</v>
      </c>
      <c r="F862">
        <v>3</v>
      </c>
      <c r="G862">
        <v>72084.899999999994</v>
      </c>
      <c r="H862" s="1">
        <v>46216</v>
      </c>
      <c r="I862" t="s">
        <v>17</v>
      </c>
    </row>
    <row r="863" spans="1:9" x14ac:dyDescent="0.3">
      <c r="A863" t="s">
        <v>891</v>
      </c>
      <c r="B863" t="s">
        <v>9</v>
      </c>
      <c r="C863" t="s">
        <v>10</v>
      </c>
      <c r="D863" t="s">
        <v>33</v>
      </c>
      <c r="E863">
        <v>855.92</v>
      </c>
      <c r="F863">
        <v>2</v>
      </c>
      <c r="G863">
        <v>1711.84</v>
      </c>
      <c r="H863" s="1">
        <v>46299</v>
      </c>
      <c r="I863" t="s">
        <v>22</v>
      </c>
    </row>
    <row r="864" spans="1:9" x14ac:dyDescent="0.3">
      <c r="A864" t="s">
        <v>892</v>
      </c>
      <c r="B864" t="s">
        <v>9</v>
      </c>
      <c r="C864" t="s">
        <v>10</v>
      </c>
      <c r="D864" t="s">
        <v>33</v>
      </c>
      <c r="E864">
        <v>13615.43</v>
      </c>
      <c r="F864">
        <v>4</v>
      </c>
      <c r="G864">
        <v>54461.72</v>
      </c>
      <c r="H864" s="1">
        <v>46338</v>
      </c>
      <c r="I864" t="s">
        <v>17</v>
      </c>
    </row>
    <row r="865" spans="1:9" x14ac:dyDescent="0.3">
      <c r="A865" t="s">
        <v>893</v>
      </c>
      <c r="B865" t="s">
        <v>14</v>
      </c>
      <c r="C865" t="s">
        <v>15</v>
      </c>
      <c r="D865" t="s">
        <v>16</v>
      </c>
      <c r="E865">
        <v>4321.41</v>
      </c>
      <c r="F865">
        <v>5</v>
      </c>
      <c r="G865">
        <v>21607.05</v>
      </c>
      <c r="H865" s="1">
        <v>46252</v>
      </c>
      <c r="I865" t="s">
        <v>27</v>
      </c>
    </row>
    <row r="866" spans="1:9" x14ac:dyDescent="0.3">
      <c r="A866" t="s">
        <v>894</v>
      </c>
      <c r="B866" t="s">
        <v>24</v>
      </c>
      <c r="C866" t="s">
        <v>25</v>
      </c>
      <c r="D866" t="s">
        <v>26</v>
      </c>
      <c r="E866">
        <v>47513.39</v>
      </c>
      <c r="F866">
        <v>3</v>
      </c>
      <c r="G866">
        <v>142540.17000000001</v>
      </c>
      <c r="H866" s="1">
        <v>46264</v>
      </c>
      <c r="I866" t="s">
        <v>17</v>
      </c>
    </row>
    <row r="867" spans="1:9" x14ac:dyDescent="0.3">
      <c r="A867" t="s">
        <v>895</v>
      </c>
      <c r="B867" t="s">
        <v>29</v>
      </c>
      <c r="C867" t="s">
        <v>30</v>
      </c>
      <c r="D867" t="s">
        <v>47</v>
      </c>
      <c r="E867">
        <v>2660.58</v>
      </c>
      <c r="F867">
        <v>5</v>
      </c>
      <c r="G867">
        <v>13302.9</v>
      </c>
      <c r="H867" s="1">
        <v>46310</v>
      </c>
      <c r="I867" t="s">
        <v>27</v>
      </c>
    </row>
    <row r="868" spans="1:9" x14ac:dyDescent="0.3">
      <c r="A868" t="s">
        <v>896</v>
      </c>
      <c r="B868" t="s">
        <v>9</v>
      </c>
      <c r="C868" t="s">
        <v>10</v>
      </c>
      <c r="D868" t="s">
        <v>33</v>
      </c>
      <c r="E868">
        <v>11406.98</v>
      </c>
      <c r="F868">
        <v>1</v>
      </c>
      <c r="G868">
        <v>11406.98</v>
      </c>
      <c r="H868" s="1">
        <v>46121</v>
      </c>
      <c r="I868" t="s">
        <v>17</v>
      </c>
    </row>
    <row r="869" spans="1:9" x14ac:dyDescent="0.3">
      <c r="A869" t="s">
        <v>897</v>
      </c>
      <c r="B869" t="s">
        <v>9</v>
      </c>
      <c r="C869" t="s">
        <v>10</v>
      </c>
      <c r="D869" t="s">
        <v>11</v>
      </c>
      <c r="E869">
        <v>19898.16</v>
      </c>
      <c r="F869">
        <v>2</v>
      </c>
      <c r="G869">
        <v>39796.32</v>
      </c>
      <c r="H869" s="1">
        <v>46114</v>
      </c>
      <c r="I869" t="s">
        <v>22</v>
      </c>
    </row>
    <row r="870" spans="1:9" x14ac:dyDescent="0.3">
      <c r="A870" t="s">
        <v>898</v>
      </c>
      <c r="B870" t="s">
        <v>24</v>
      </c>
      <c r="C870" t="s">
        <v>25</v>
      </c>
      <c r="D870" t="s">
        <v>16</v>
      </c>
      <c r="E870">
        <v>7555.32</v>
      </c>
      <c r="F870">
        <v>4</v>
      </c>
      <c r="G870">
        <v>30221.279999999999</v>
      </c>
      <c r="H870" s="1">
        <v>46199</v>
      </c>
      <c r="I870" t="s">
        <v>12</v>
      </c>
    </row>
    <row r="871" spans="1:9" x14ac:dyDescent="0.3">
      <c r="A871" t="s">
        <v>899</v>
      </c>
      <c r="B871" t="s">
        <v>24</v>
      </c>
      <c r="C871" t="s">
        <v>25</v>
      </c>
      <c r="D871" t="s">
        <v>47</v>
      </c>
      <c r="E871">
        <v>3789.63</v>
      </c>
      <c r="F871">
        <v>3</v>
      </c>
      <c r="G871">
        <v>11368.89</v>
      </c>
      <c r="H871" s="1">
        <v>46253</v>
      </c>
      <c r="I871" t="s">
        <v>27</v>
      </c>
    </row>
    <row r="872" spans="1:9" x14ac:dyDescent="0.3">
      <c r="A872" t="s">
        <v>900</v>
      </c>
      <c r="B872" t="s">
        <v>9</v>
      </c>
      <c r="C872" t="s">
        <v>10</v>
      </c>
      <c r="D872" t="s">
        <v>31</v>
      </c>
      <c r="E872">
        <v>1884.61</v>
      </c>
      <c r="F872">
        <v>1</v>
      </c>
      <c r="G872">
        <v>1884.61</v>
      </c>
      <c r="H872" s="1">
        <v>46258</v>
      </c>
      <c r="I872" t="s">
        <v>22</v>
      </c>
    </row>
    <row r="873" spans="1:9" x14ac:dyDescent="0.3">
      <c r="A873" t="s">
        <v>901</v>
      </c>
      <c r="B873" t="s">
        <v>24</v>
      </c>
      <c r="C873" t="s">
        <v>25</v>
      </c>
      <c r="D873" t="s">
        <v>16</v>
      </c>
      <c r="E873">
        <v>2683.17</v>
      </c>
      <c r="F873">
        <v>3</v>
      </c>
      <c r="G873">
        <v>8049.51</v>
      </c>
      <c r="H873" s="1">
        <v>46079</v>
      </c>
      <c r="I873" t="s">
        <v>17</v>
      </c>
    </row>
    <row r="874" spans="1:9" x14ac:dyDescent="0.3">
      <c r="A874" t="s">
        <v>902</v>
      </c>
      <c r="B874" t="s">
        <v>29</v>
      </c>
      <c r="C874" t="s">
        <v>30</v>
      </c>
      <c r="D874" t="s">
        <v>33</v>
      </c>
      <c r="E874">
        <v>2496.9699999999998</v>
      </c>
      <c r="F874">
        <v>4</v>
      </c>
      <c r="G874">
        <v>9987.8799999999992</v>
      </c>
      <c r="H874" s="1">
        <v>46307</v>
      </c>
      <c r="I874" t="s">
        <v>27</v>
      </c>
    </row>
    <row r="875" spans="1:9" x14ac:dyDescent="0.3">
      <c r="A875" t="s">
        <v>903</v>
      </c>
      <c r="B875" t="s">
        <v>38</v>
      </c>
      <c r="C875" t="s">
        <v>39</v>
      </c>
      <c r="D875" t="s">
        <v>33</v>
      </c>
      <c r="E875">
        <v>2661.62</v>
      </c>
      <c r="F875">
        <v>4</v>
      </c>
      <c r="G875">
        <v>10646.48</v>
      </c>
      <c r="H875" s="1">
        <v>46155</v>
      </c>
      <c r="I875" t="s">
        <v>27</v>
      </c>
    </row>
    <row r="876" spans="1:9" x14ac:dyDescent="0.3">
      <c r="A876" t="s">
        <v>904</v>
      </c>
      <c r="B876" t="s">
        <v>20</v>
      </c>
      <c r="C876" t="s">
        <v>21</v>
      </c>
      <c r="D876" t="s">
        <v>33</v>
      </c>
      <c r="E876">
        <v>19981.09</v>
      </c>
      <c r="F876">
        <v>2</v>
      </c>
      <c r="G876">
        <v>39962.18</v>
      </c>
      <c r="H876" s="1">
        <v>46343</v>
      </c>
      <c r="I876" t="s">
        <v>27</v>
      </c>
    </row>
    <row r="877" spans="1:9" x14ac:dyDescent="0.3">
      <c r="A877" t="s">
        <v>905</v>
      </c>
      <c r="B877" t="s">
        <v>29</v>
      </c>
      <c r="C877" t="s">
        <v>30</v>
      </c>
      <c r="D877" t="s">
        <v>47</v>
      </c>
      <c r="E877">
        <v>3357.25</v>
      </c>
      <c r="F877">
        <v>2</v>
      </c>
      <c r="G877">
        <v>6714.5</v>
      </c>
      <c r="H877" s="1">
        <v>46287</v>
      </c>
      <c r="I877" t="s">
        <v>27</v>
      </c>
    </row>
    <row r="878" spans="1:9" x14ac:dyDescent="0.3">
      <c r="A878" t="s">
        <v>906</v>
      </c>
      <c r="B878" t="s">
        <v>38</v>
      </c>
      <c r="C878" t="s">
        <v>39</v>
      </c>
      <c r="D878" t="s">
        <v>31</v>
      </c>
      <c r="E878">
        <v>59.55</v>
      </c>
      <c r="F878">
        <v>4</v>
      </c>
      <c r="G878">
        <v>238.2</v>
      </c>
      <c r="H878" s="1">
        <v>46381</v>
      </c>
      <c r="I878" t="s">
        <v>27</v>
      </c>
    </row>
    <row r="879" spans="1:9" x14ac:dyDescent="0.3">
      <c r="A879" t="s">
        <v>907</v>
      </c>
      <c r="B879" t="s">
        <v>38</v>
      </c>
      <c r="C879" t="s">
        <v>39</v>
      </c>
      <c r="D879" t="s">
        <v>31</v>
      </c>
      <c r="E879">
        <v>4767</v>
      </c>
      <c r="F879">
        <v>3</v>
      </c>
      <c r="G879">
        <v>14301</v>
      </c>
      <c r="H879" s="1">
        <v>46253</v>
      </c>
      <c r="I879" t="s">
        <v>17</v>
      </c>
    </row>
    <row r="880" spans="1:9" x14ac:dyDescent="0.3">
      <c r="A880" t="s">
        <v>908</v>
      </c>
      <c r="B880" t="s">
        <v>20</v>
      </c>
      <c r="C880" t="s">
        <v>21</v>
      </c>
      <c r="D880" t="s">
        <v>16</v>
      </c>
      <c r="E880">
        <v>533.77</v>
      </c>
      <c r="F880">
        <v>2</v>
      </c>
      <c r="G880">
        <v>1067.54</v>
      </c>
      <c r="H880" s="1">
        <v>46215</v>
      </c>
      <c r="I880" t="s">
        <v>22</v>
      </c>
    </row>
    <row r="881" spans="1:9" x14ac:dyDescent="0.3">
      <c r="A881" t="s">
        <v>909</v>
      </c>
      <c r="B881" t="s">
        <v>20</v>
      </c>
      <c r="C881" t="s">
        <v>21</v>
      </c>
      <c r="D881" t="s">
        <v>16</v>
      </c>
      <c r="E881">
        <v>5197.46</v>
      </c>
      <c r="F881">
        <v>2</v>
      </c>
      <c r="G881">
        <v>10394.92</v>
      </c>
      <c r="H881" s="1">
        <v>46091</v>
      </c>
      <c r="I881" t="s">
        <v>27</v>
      </c>
    </row>
    <row r="882" spans="1:9" x14ac:dyDescent="0.3">
      <c r="A882" t="s">
        <v>910</v>
      </c>
      <c r="B882" t="s">
        <v>14</v>
      </c>
      <c r="C882" t="s">
        <v>15</v>
      </c>
      <c r="D882" t="s">
        <v>16</v>
      </c>
      <c r="E882">
        <v>8694.49</v>
      </c>
      <c r="F882">
        <v>3</v>
      </c>
      <c r="G882">
        <v>26083.47</v>
      </c>
      <c r="H882" s="1">
        <v>46168</v>
      </c>
      <c r="I882" t="s">
        <v>27</v>
      </c>
    </row>
    <row r="883" spans="1:9" x14ac:dyDescent="0.3">
      <c r="A883" t="s">
        <v>911</v>
      </c>
      <c r="B883" t="s">
        <v>20</v>
      </c>
      <c r="C883" t="s">
        <v>21</v>
      </c>
      <c r="D883" t="s">
        <v>26</v>
      </c>
      <c r="E883">
        <v>45815.360000000001</v>
      </c>
      <c r="F883">
        <v>1</v>
      </c>
      <c r="G883">
        <v>45815.360000000001</v>
      </c>
      <c r="H883" s="1">
        <v>46336</v>
      </c>
      <c r="I883" t="s">
        <v>27</v>
      </c>
    </row>
    <row r="884" spans="1:9" x14ac:dyDescent="0.3">
      <c r="A884" t="s">
        <v>912</v>
      </c>
      <c r="B884" t="s">
        <v>29</v>
      </c>
      <c r="C884" t="s">
        <v>30</v>
      </c>
      <c r="D884" t="s">
        <v>31</v>
      </c>
      <c r="E884">
        <v>3578.79</v>
      </c>
      <c r="F884">
        <v>3</v>
      </c>
      <c r="G884">
        <v>10736.37</v>
      </c>
      <c r="H884" s="1">
        <v>46162</v>
      </c>
      <c r="I884" t="s">
        <v>22</v>
      </c>
    </row>
    <row r="885" spans="1:9" x14ac:dyDescent="0.3">
      <c r="A885" t="s">
        <v>913</v>
      </c>
      <c r="B885" t="s">
        <v>14</v>
      </c>
      <c r="C885" t="s">
        <v>15</v>
      </c>
      <c r="D885" t="s">
        <v>47</v>
      </c>
      <c r="E885">
        <v>3762.64</v>
      </c>
      <c r="F885">
        <v>2</v>
      </c>
      <c r="G885">
        <v>7525.28</v>
      </c>
      <c r="H885" s="1">
        <v>46042</v>
      </c>
      <c r="I885" t="s">
        <v>17</v>
      </c>
    </row>
    <row r="886" spans="1:9" x14ac:dyDescent="0.3">
      <c r="A886" t="s">
        <v>914</v>
      </c>
      <c r="B886" t="s">
        <v>24</v>
      </c>
      <c r="C886" t="s">
        <v>25</v>
      </c>
      <c r="D886" t="s">
        <v>31</v>
      </c>
      <c r="E886">
        <v>4873.49</v>
      </c>
      <c r="F886">
        <v>2</v>
      </c>
      <c r="G886">
        <v>9746.98</v>
      </c>
      <c r="H886" s="1">
        <v>46112</v>
      </c>
      <c r="I886" t="s">
        <v>22</v>
      </c>
    </row>
    <row r="887" spans="1:9" x14ac:dyDescent="0.3">
      <c r="A887" t="s">
        <v>915</v>
      </c>
      <c r="B887" t="s">
        <v>38</v>
      </c>
      <c r="C887" t="s">
        <v>39</v>
      </c>
      <c r="D887" t="s">
        <v>31</v>
      </c>
      <c r="E887">
        <v>244.63</v>
      </c>
      <c r="F887">
        <v>9</v>
      </c>
      <c r="G887">
        <v>2201.67</v>
      </c>
      <c r="H887" s="1">
        <v>46240</v>
      </c>
      <c r="I887" t="s">
        <v>27</v>
      </c>
    </row>
    <row r="888" spans="1:9" x14ac:dyDescent="0.3">
      <c r="A888" t="s">
        <v>916</v>
      </c>
      <c r="B888" t="s">
        <v>38</v>
      </c>
      <c r="C888" t="s">
        <v>39</v>
      </c>
      <c r="D888" t="s">
        <v>11</v>
      </c>
      <c r="E888">
        <v>74027.399999999994</v>
      </c>
      <c r="F888">
        <v>3</v>
      </c>
      <c r="G888">
        <v>222082.2</v>
      </c>
      <c r="H888" s="1">
        <v>46252</v>
      </c>
      <c r="I888" t="s">
        <v>27</v>
      </c>
    </row>
    <row r="889" spans="1:9" x14ac:dyDescent="0.3">
      <c r="A889" t="s">
        <v>917</v>
      </c>
      <c r="B889" t="s">
        <v>24</v>
      </c>
      <c r="C889" t="s">
        <v>25</v>
      </c>
      <c r="D889" t="s">
        <v>11</v>
      </c>
      <c r="E889">
        <v>63824.85</v>
      </c>
      <c r="F889">
        <v>3</v>
      </c>
      <c r="G889">
        <v>191474.55</v>
      </c>
      <c r="H889" s="1">
        <v>46382</v>
      </c>
      <c r="I889" t="s">
        <v>12</v>
      </c>
    </row>
    <row r="890" spans="1:9" x14ac:dyDescent="0.3">
      <c r="A890" t="s">
        <v>918</v>
      </c>
      <c r="B890" t="s">
        <v>24</v>
      </c>
      <c r="C890" t="s">
        <v>25</v>
      </c>
      <c r="D890" t="s">
        <v>47</v>
      </c>
      <c r="E890">
        <v>7438.55</v>
      </c>
      <c r="F890">
        <v>3</v>
      </c>
      <c r="G890">
        <v>22315.65</v>
      </c>
      <c r="H890" s="1">
        <v>46363</v>
      </c>
      <c r="I890" t="s">
        <v>27</v>
      </c>
    </row>
    <row r="891" spans="1:9" x14ac:dyDescent="0.3">
      <c r="A891" t="s">
        <v>919</v>
      </c>
      <c r="B891" t="s">
        <v>20</v>
      </c>
      <c r="C891" t="s">
        <v>21</v>
      </c>
      <c r="D891" t="s">
        <v>16</v>
      </c>
      <c r="E891">
        <v>3280.84</v>
      </c>
      <c r="F891">
        <v>1</v>
      </c>
      <c r="G891">
        <v>3280.84</v>
      </c>
      <c r="H891" s="1">
        <v>46216</v>
      </c>
      <c r="I891" t="s">
        <v>27</v>
      </c>
    </row>
    <row r="892" spans="1:9" x14ac:dyDescent="0.3">
      <c r="A892" t="s">
        <v>920</v>
      </c>
      <c r="B892" t="s">
        <v>38</v>
      </c>
      <c r="C892" t="s">
        <v>39</v>
      </c>
      <c r="D892" t="s">
        <v>31</v>
      </c>
      <c r="E892">
        <v>755.17</v>
      </c>
      <c r="F892">
        <v>10</v>
      </c>
      <c r="G892">
        <v>7551.7</v>
      </c>
      <c r="H892" s="1">
        <v>46225</v>
      </c>
      <c r="I892" t="s">
        <v>27</v>
      </c>
    </row>
    <row r="893" spans="1:9" x14ac:dyDescent="0.3">
      <c r="A893" t="s">
        <v>921</v>
      </c>
      <c r="B893" t="s">
        <v>29</v>
      </c>
      <c r="C893" t="s">
        <v>30</v>
      </c>
      <c r="D893" t="s">
        <v>47</v>
      </c>
      <c r="E893">
        <v>5340.19</v>
      </c>
      <c r="F893">
        <v>3</v>
      </c>
      <c r="G893">
        <v>16020.57</v>
      </c>
      <c r="H893" s="1">
        <v>46315</v>
      </c>
      <c r="I893" t="s">
        <v>12</v>
      </c>
    </row>
    <row r="894" spans="1:9" x14ac:dyDescent="0.3">
      <c r="A894" t="s">
        <v>922</v>
      </c>
      <c r="B894" t="s">
        <v>38</v>
      </c>
      <c r="C894" t="s">
        <v>39</v>
      </c>
      <c r="D894" t="s">
        <v>16</v>
      </c>
      <c r="E894">
        <v>6335.56</v>
      </c>
      <c r="F894">
        <v>4</v>
      </c>
      <c r="G894">
        <v>25342.240000000002</v>
      </c>
      <c r="H894" s="1">
        <v>46040</v>
      </c>
      <c r="I894" t="s">
        <v>22</v>
      </c>
    </row>
    <row r="895" spans="1:9" x14ac:dyDescent="0.3">
      <c r="A895" t="s">
        <v>923</v>
      </c>
      <c r="B895" t="s">
        <v>24</v>
      </c>
      <c r="C895" t="s">
        <v>25</v>
      </c>
      <c r="D895" t="s">
        <v>11</v>
      </c>
      <c r="E895">
        <v>39619.06</v>
      </c>
      <c r="F895">
        <v>2</v>
      </c>
      <c r="G895">
        <v>79238.12</v>
      </c>
      <c r="H895" s="1">
        <v>46240</v>
      </c>
      <c r="I895" t="s">
        <v>22</v>
      </c>
    </row>
    <row r="896" spans="1:9" x14ac:dyDescent="0.3">
      <c r="A896" t="s">
        <v>924</v>
      </c>
      <c r="B896" t="s">
        <v>9</v>
      </c>
      <c r="C896" t="s">
        <v>10</v>
      </c>
      <c r="D896" t="s">
        <v>31</v>
      </c>
      <c r="E896">
        <v>4626.8599999999997</v>
      </c>
      <c r="F896">
        <v>5</v>
      </c>
      <c r="G896">
        <v>23134.3</v>
      </c>
      <c r="H896" s="1">
        <v>46196</v>
      </c>
      <c r="I896" t="s">
        <v>12</v>
      </c>
    </row>
    <row r="897" spans="1:9" x14ac:dyDescent="0.3">
      <c r="A897" t="s">
        <v>925</v>
      </c>
      <c r="B897" t="s">
        <v>29</v>
      </c>
      <c r="C897" t="s">
        <v>30</v>
      </c>
      <c r="D897" t="s">
        <v>11</v>
      </c>
      <c r="E897">
        <v>46810</v>
      </c>
      <c r="F897">
        <v>2</v>
      </c>
      <c r="G897">
        <v>93620</v>
      </c>
      <c r="H897" s="1">
        <v>46308</v>
      </c>
      <c r="I897" t="s">
        <v>27</v>
      </c>
    </row>
    <row r="898" spans="1:9" x14ac:dyDescent="0.3">
      <c r="A898" t="s">
        <v>926</v>
      </c>
      <c r="B898" t="s">
        <v>38</v>
      </c>
      <c r="C898" t="s">
        <v>39</v>
      </c>
      <c r="D898" t="s">
        <v>26</v>
      </c>
      <c r="E898">
        <v>16242.13</v>
      </c>
      <c r="F898">
        <v>1</v>
      </c>
      <c r="G898">
        <v>16242.13</v>
      </c>
      <c r="H898" s="1">
        <v>46315</v>
      </c>
      <c r="I898" t="s">
        <v>12</v>
      </c>
    </row>
    <row r="899" spans="1:9" x14ac:dyDescent="0.3">
      <c r="A899" t="s">
        <v>927</v>
      </c>
      <c r="B899" t="s">
        <v>24</v>
      </c>
      <c r="C899" t="s">
        <v>25</v>
      </c>
      <c r="D899" t="s">
        <v>31</v>
      </c>
      <c r="E899">
        <v>2030.33</v>
      </c>
      <c r="F899">
        <v>6</v>
      </c>
      <c r="G899">
        <v>12181.98</v>
      </c>
      <c r="H899" s="1">
        <v>46262</v>
      </c>
      <c r="I899" t="s">
        <v>27</v>
      </c>
    </row>
    <row r="900" spans="1:9" x14ac:dyDescent="0.3">
      <c r="A900" t="s">
        <v>928</v>
      </c>
      <c r="B900" t="s">
        <v>24</v>
      </c>
      <c r="C900" t="s">
        <v>25</v>
      </c>
      <c r="D900" t="s">
        <v>11</v>
      </c>
      <c r="E900">
        <v>10705.39</v>
      </c>
      <c r="F900">
        <v>3</v>
      </c>
      <c r="G900">
        <v>32116.17</v>
      </c>
      <c r="H900" s="1">
        <v>46262</v>
      </c>
      <c r="I900" t="s">
        <v>22</v>
      </c>
    </row>
    <row r="901" spans="1:9" x14ac:dyDescent="0.3">
      <c r="A901" t="s">
        <v>929</v>
      </c>
      <c r="B901" t="s">
        <v>14</v>
      </c>
      <c r="C901" t="s">
        <v>15</v>
      </c>
      <c r="D901" t="s">
        <v>11</v>
      </c>
      <c r="E901">
        <v>15069.7</v>
      </c>
      <c r="F901">
        <v>1</v>
      </c>
      <c r="G901">
        <v>15069.7</v>
      </c>
      <c r="H901" s="1">
        <v>46275</v>
      </c>
      <c r="I901" t="s">
        <v>17</v>
      </c>
    </row>
    <row r="902" spans="1:9" x14ac:dyDescent="0.3">
      <c r="A902" t="s">
        <v>930</v>
      </c>
      <c r="B902" t="s">
        <v>14</v>
      </c>
      <c r="C902" t="s">
        <v>15</v>
      </c>
      <c r="D902" t="s">
        <v>26</v>
      </c>
      <c r="E902">
        <v>8024.15</v>
      </c>
      <c r="F902">
        <v>1</v>
      </c>
      <c r="G902">
        <v>8024.15</v>
      </c>
      <c r="H902" s="1">
        <v>46234</v>
      </c>
      <c r="I902" t="s">
        <v>17</v>
      </c>
    </row>
    <row r="903" spans="1:9" x14ac:dyDescent="0.3">
      <c r="A903" t="s">
        <v>931</v>
      </c>
      <c r="B903" t="s">
        <v>38</v>
      </c>
      <c r="C903" t="s">
        <v>39</v>
      </c>
      <c r="D903" t="s">
        <v>11</v>
      </c>
      <c r="E903">
        <v>60923.62</v>
      </c>
      <c r="F903">
        <v>3</v>
      </c>
      <c r="G903">
        <v>182770.86</v>
      </c>
      <c r="H903" s="1">
        <v>46106</v>
      </c>
      <c r="I903" t="s">
        <v>12</v>
      </c>
    </row>
    <row r="904" spans="1:9" x14ac:dyDescent="0.3">
      <c r="A904" t="s">
        <v>932</v>
      </c>
      <c r="B904" t="s">
        <v>24</v>
      </c>
      <c r="C904" t="s">
        <v>25</v>
      </c>
      <c r="D904" t="s">
        <v>47</v>
      </c>
      <c r="E904">
        <v>5668.5</v>
      </c>
      <c r="F904">
        <v>3</v>
      </c>
      <c r="G904">
        <v>17005.5</v>
      </c>
      <c r="H904" s="1">
        <v>46126</v>
      </c>
      <c r="I904" t="s">
        <v>27</v>
      </c>
    </row>
    <row r="905" spans="1:9" x14ac:dyDescent="0.3">
      <c r="A905" t="s">
        <v>933</v>
      </c>
      <c r="B905" t="s">
        <v>14</v>
      </c>
      <c r="C905" t="s">
        <v>15</v>
      </c>
      <c r="D905" t="s">
        <v>11</v>
      </c>
      <c r="E905">
        <v>40151.599999999999</v>
      </c>
      <c r="F905">
        <v>3</v>
      </c>
      <c r="G905">
        <v>120454.8</v>
      </c>
      <c r="H905" s="1">
        <v>46293</v>
      </c>
      <c r="I905" t="s">
        <v>12</v>
      </c>
    </row>
    <row r="906" spans="1:9" x14ac:dyDescent="0.3">
      <c r="A906" t="s">
        <v>934</v>
      </c>
      <c r="B906" t="s">
        <v>29</v>
      </c>
      <c r="C906" t="s">
        <v>30</v>
      </c>
      <c r="D906" t="s">
        <v>26</v>
      </c>
      <c r="E906">
        <v>19344.02</v>
      </c>
      <c r="F906">
        <v>2</v>
      </c>
      <c r="G906">
        <v>38688.04</v>
      </c>
      <c r="H906" s="1">
        <v>46248</v>
      </c>
      <c r="I906" t="s">
        <v>17</v>
      </c>
    </row>
    <row r="907" spans="1:9" x14ac:dyDescent="0.3">
      <c r="A907" t="s">
        <v>935</v>
      </c>
      <c r="B907" t="s">
        <v>20</v>
      </c>
      <c r="C907" t="s">
        <v>21</v>
      </c>
      <c r="D907" t="s">
        <v>16</v>
      </c>
      <c r="E907">
        <v>8121.38</v>
      </c>
      <c r="F907">
        <v>4</v>
      </c>
      <c r="G907">
        <v>32485.52</v>
      </c>
      <c r="H907" s="1">
        <v>46109</v>
      </c>
      <c r="I907" t="s">
        <v>22</v>
      </c>
    </row>
    <row r="908" spans="1:9" x14ac:dyDescent="0.3">
      <c r="A908" t="s">
        <v>936</v>
      </c>
      <c r="B908" t="s">
        <v>14</v>
      </c>
      <c r="C908" t="s">
        <v>15</v>
      </c>
      <c r="D908" t="s">
        <v>16</v>
      </c>
      <c r="E908">
        <v>9810.99</v>
      </c>
      <c r="F908">
        <v>5</v>
      </c>
      <c r="G908">
        <v>49054.95</v>
      </c>
      <c r="H908" s="1">
        <v>46343</v>
      </c>
      <c r="I908" t="s">
        <v>12</v>
      </c>
    </row>
    <row r="909" spans="1:9" x14ac:dyDescent="0.3">
      <c r="A909" t="s">
        <v>937</v>
      </c>
      <c r="B909" t="s">
        <v>24</v>
      </c>
      <c r="C909" t="s">
        <v>25</v>
      </c>
      <c r="D909" t="s">
        <v>11</v>
      </c>
      <c r="E909">
        <v>66187.5</v>
      </c>
      <c r="F909">
        <v>2</v>
      </c>
      <c r="G909">
        <v>132375</v>
      </c>
      <c r="H909" s="1">
        <v>46380</v>
      </c>
      <c r="I909" t="s">
        <v>27</v>
      </c>
    </row>
    <row r="910" spans="1:9" x14ac:dyDescent="0.3">
      <c r="A910" t="s">
        <v>938</v>
      </c>
      <c r="B910" t="s">
        <v>38</v>
      </c>
      <c r="C910" t="s">
        <v>39</v>
      </c>
      <c r="D910" t="s">
        <v>47</v>
      </c>
      <c r="E910">
        <v>4421.43</v>
      </c>
      <c r="F910">
        <v>2</v>
      </c>
      <c r="G910">
        <v>8842.86</v>
      </c>
      <c r="H910" s="1">
        <v>46251</v>
      </c>
      <c r="I910" t="s">
        <v>12</v>
      </c>
    </row>
    <row r="911" spans="1:9" x14ac:dyDescent="0.3">
      <c r="A911" t="s">
        <v>939</v>
      </c>
      <c r="B911" t="s">
        <v>38</v>
      </c>
      <c r="C911" t="s">
        <v>39</v>
      </c>
      <c r="D911" t="s">
        <v>33</v>
      </c>
      <c r="E911">
        <v>16451.740000000002</v>
      </c>
      <c r="F911">
        <v>3</v>
      </c>
      <c r="G911">
        <v>49355.22</v>
      </c>
      <c r="H911" s="1">
        <v>46106</v>
      </c>
      <c r="I911" t="s">
        <v>22</v>
      </c>
    </row>
    <row r="912" spans="1:9" x14ac:dyDescent="0.3">
      <c r="A912" t="s">
        <v>940</v>
      </c>
      <c r="B912" t="s">
        <v>9</v>
      </c>
      <c r="C912" t="s">
        <v>10</v>
      </c>
      <c r="D912" t="s">
        <v>11</v>
      </c>
      <c r="E912">
        <v>38738.9</v>
      </c>
      <c r="F912">
        <v>1</v>
      </c>
      <c r="G912">
        <v>38738.9</v>
      </c>
      <c r="H912" s="1">
        <v>46365</v>
      </c>
      <c r="I912" t="s">
        <v>12</v>
      </c>
    </row>
    <row r="913" spans="1:9" x14ac:dyDescent="0.3">
      <c r="A913" t="s">
        <v>941</v>
      </c>
      <c r="B913" t="s">
        <v>9</v>
      </c>
      <c r="C913" t="s">
        <v>10</v>
      </c>
      <c r="D913" t="s">
        <v>11</v>
      </c>
      <c r="E913">
        <v>36010.129999999997</v>
      </c>
      <c r="F913">
        <v>2</v>
      </c>
      <c r="G913">
        <v>72020.259999999995</v>
      </c>
      <c r="H913" s="1">
        <v>46109</v>
      </c>
      <c r="I913" t="s">
        <v>27</v>
      </c>
    </row>
    <row r="914" spans="1:9" x14ac:dyDescent="0.3">
      <c r="A914" t="s">
        <v>942</v>
      </c>
      <c r="B914" t="s">
        <v>29</v>
      </c>
      <c r="C914" t="s">
        <v>30</v>
      </c>
      <c r="D914" t="s">
        <v>33</v>
      </c>
      <c r="E914">
        <v>17349.009999999998</v>
      </c>
      <c r="F914">
        <v>3</v>
      </c>
      <c r="G914">
        <v>52047.03</v>
      </c>
      <c r="H914" s="1">
        <v>46180</v>
      </c>
      <c r="I914" t="s">
        <v>22</v>
      </c>
    </row>
    <row r="915" spans="1:9" x14ac:dyDescent="0.3">
      <c r="A915" t="s">
        <v>943</v>
      </c>
      <c r="B915" t="s">
        <v>29</v>
      </c>
      <c r="C915" t="s">
        <v>30</v>
      </c>
      <c r="D915" t="s">
        <v>16</v>
      </c>
      <c r="E915">
        <v>4820.58</v>
      </c>
      <c r="F915">
        <v>1</v>
      </c>
      <c r="G915">
        <v>4820.58</v>
      </c>
      <c r="H915" s="1">
        <v>46336</v>
      </c>
      <c r="I915" t="s">
        <v>22</v>
      </c>
    </row>
    <row r="916" spans="1:9" x14ac:dyDescent="0.3">
      <c r="A916" t="s">
        <v>944</v>
      </c>
      <c r="B916" t="s">
        <v>29</v>
      </c>
      <c r="C916" t="s">
        <v>30</v>
      </c>
      <c r="D916" t="s">
        <v>11</v>
      </c>
      <c r="E916">
        <v>30176.720000000001</v>
      </c>
      <c r="F916">
        <v>3</v>
      </c>
      <c r="G916">
        <v>90530.16</v>
      </c>
      <c r="H916" s="1">
        <v>46213</v>
      </c>
      <c r="I916" t="s">
        <v>17</v>
      </c>
    </row>
    <row r="917" spans="1:9" x14ac:dyDescent="0.3">
      <c r="A917" t="s">
        <v>945</v>
      </c>
      <c r="B917" t="s">
        <v>29</v>
      </c>
      <c r="C917" t="s">
        <v>30</v>
      </c>
      <c r="D917" t="s">
        <v>11</v>
      </c>
      <c r="E917">
        <v>23424.42</v>
      </c>
      <c r="F917">
        <v>2</v>
      </c>
      <c r="G917">
        <v>46848.84</v>
      </c>
      <c r="H917" s="1">
        <v>46111</v>
      </c>
      <c r="I917" t="s">
        <v>27</v>
      </c>
    </row>
    <row r="918" spans="1:9" x14ac:dyDescent="0.3">
      <c r="A918" t="s">
        <v>946</v>
      </c>
      <c r="B918" t="s">
        <v>24</v>
      </c>
      <c r="C918" t="s">
        <v>25</v>
      </c>
      <c r="D918" t="s">
        <v>26</v>
      </c>
      <c r="E918">
        <v>26416.38</v>
      </c>
      <c r="F918">
        <v>1</v>
      </c>
      <c r="G918">
        <v>26416.38</v>
      </c>
      <c r="H918" s="1">
        <v>46052</v>
      </c>
      <c r="I918" t="s">
        <v>27</v>
      </c>
    </row>
    <row r="919" spans="1:9" x14ac:dyDescent="0.3">
      <c r="A919" t="s">
        <v>947</v>
      </c>
      <c r="B919" t="s">
        <v>24</v>
      </c>
      <c r="C919" t="s">
        <v>25</v>
      </c>
      <c r="D919" t="s">
        <v>26</v>
      </c>
      <c r="E919">
        <v>27697.65</v>
      </c>
      <c r="F919">
        <v>1</v>
      </c>
      <c r="G919">
        <v>27697.65</v>
      </c>
      <c r="H919" s="1">
        <v>46154</v>
      </c>
      <c r="I919" t="s">
        <v>12</v>
      </c>
    </row>
    <row r="920" spans="1:9" x14ac:dyDescent="0.3">
      <c r="A920" t="s">
        <v>948</v>
      </c>
      <c r="B920" t="s">
        <v>38</v>
      </c>
      <c r="C920" t="s">
        <v>39</v>
      </c>
      <c r="D920" t="s">
        <v>26</v>
      </c>
      <c r="E920">
        <v>33362.6</v>
      </c>
      <c r="F920">
        <v>3</v>
      </c>
      <c r="G920">
        <v>100087.8</v>
      </c>
      <c r="H920" s="1">
        <v>46268</v>
      </c>
      <c r="I920" t="s">
        <v>27</v>
      </c>
    </row>
    <row r="921" spans="1:9" x14ac:dyDescent="0.3">
      <c r="A921" t="s">
        <v>949</v>
      </c>
      <c r="B921" t="s">
        <v>14</v>
      </c>
      <c r="C921" t="s">
        <v>15</v>
      </c>
      <c r="D921" t="s">
        <v>33</v>
      </c>
      <c r="E921">
        <v>8780.9</v>
      </c>
      <c r="F921">
        <v>4</v>
      </c>
      <c r="G921">
        <v>35123.599999999999</v>
      </c>
      <c r="H921" s="1">
        <v>46283</v>
      </c>
      <c r="I921" t="s">
        <v>12</v>
      </c>
    </row>
    <row r="922" spans="1:9" x14ac:dyDescent="0.3">
      <c r="A922" t="s">
        <v>950</v>
      </c>
      <c r="B922" t="s">
        <v>24</v>
      </c>
      <c r="C922" t="s">
        <v>25</v>
      </c>
      <c r="D922" t="s">
        <v>16</v>
      </c>
      <c r="E922">
        <v>2848.7</v>
      </c>
      <c r="F922">
        <v>4</v>
      </c>
      <c r="G922">
        <v>11394.8</v>
      </c>
      <c r="H922" s="1">
        <v>46104</v>
      </c>
      <c r="I922" t="s">
        <v>12</v>
      </c>
    </row>
    <row r="923" spans="1:9" x14ac:dyDescent="0.3">
      <c r="A923" t="s">
        <v>951</v>
      </c>
      <c r="B923" t="s">
        <v>9</v>
      </c>
      <c r="C923" t="s">
        <v>10</v>
      </c>
      <c r="D923" t="s">
        <v>31</v>
      </c>
      <c r="E923">
        <v>4340.87</v>
      </c>
      <c r="F923">
        <v>5</v>
      </c>
      <c r="G923">
        <v>21704.35</v>
      </c>
      <c r="H923" s="1">
        <v>46080</v>
      </c>
      <c r="I923" t="s">
        <v>27</v>
      </c>
    </row>
    <row r="924" spans="1:9" x14ac:dyDescent="0.3">
      <c r="A924" t="s">
        <v>952</v>
      </c>
      <c r="B924" t="s">
        <v>20</v>
      </c>
      <c r="C924" t="s">
        <v>21</v>
      </c>
      <c r="D924" t="s">
        <v>16</v>
      </c>
      <c r="E924">
        <v>4348.21</v>
      </c>
      <c r="F924">
        <v>4</v>
      </c>
      <c r="G924">
        <v>17392.84</v>
      </c>
      <c r="H924" s="1">
        <v>46279</v>
      </c>
      <c r="I924" t="s">
        <v>27</v>
      </c>
    </row>
    <row r="925" spans="1:9" x14ac:dyDescent="0.3">
      <c r="A925" t="s">
        <v>953</v>
      </c>
      <c r="B925" t="s">
        <v>14</v>
      </c>
      <c r="C925" t="s">
        <v>15</v>
      </c>
      <c r="D925" t="s">
        <v>31</v>
      </c>
      <c r="E925">
        <v>4618.57</v>
      </c>
      <c r="F925">
        <v>5</v>
      </c>
      <c r="G925">
        <v>23092.85</v>
      </c>
      <c r="H925" s="1">
        <v>46081</v>
      </c>
      <c r="I925" t="s">
        <v>22</v>
      </c>
    </row>
    <row r="926" spans="1:9" x14ac:dyDescent="0.3">
      <c r="A926" t="s">
        <v>954</v>
      </c>
      <c r="B926" t="s">
        <v>24</v>
      </c>
      <c r="C926" t="s">
        <v>25</v>
      </c>
      <c r="D926" t="s">
        <v>31</v>
      </c>
      <c r="E926">
        <v>1076.4000000000001</v>
      </c>
      <c r="F926">
        <v>4</v>
      </c>
      <c r="G926">
        <v>4305.6000000000004</v>
      </c>
      <c r="H926" s="1">
        <v>46046</v>
      </c>
      <c r="I926" t="s">
        <v>27</v>
      </c>
    </row>
    <row r="927" spans="1:9" x14ac:dyDescent="0.3">
      <c r="A927" t="s">
        <v>955</v>
      </c>
      <c r="B927" t="s">
        <v>38</v>
      </c>
      <c r="C927" t="s">
        <v>39</v>
      </c>
      <c r="D927" t="s">
        <v>11</v>
      </c>
      <c r="E927">
        <v>42356.26</v>
      </c>
      <c r="F927">
        <v>1</v>
      </c>
      <c r="G927">
        <v>42356.26</v>
      </c>
      <c r="H927" s="1">
        <v>46200</v>
      </c>
      <c r="I927" t="s">
        <v>22</v>
      </c>
    </row>
    <row r="928" spans="1:9" x14ac:dyDescent="0.3">
      <c r="A928" t="s">
        <v>956</v>
      </c>
      <c r="B928" t="s">
        <v>24</v>
      </c>
      <c r="C928" t="s">
        <v>25</v>
      </c>
      <c r="D928" t="s">
        <v>31</v>
      </c>
      <c r="E928">
        <v>2706.24</v>
      </c>
      <c r="F928">
        <v>3</v>
      </c>
      <c r="G928">
        <v>8118.72</v>
      </c>
      <c r="H928" s="1">
        <v>46231</v>
      </c>
      <c r="I928" t="s">
        <v>22</v>
      </c>
    </row>
    <row r="929" spans="1:9" x14ac:dyDescent="0.3">
      <c r="A929" t="s">
        <v>957</v>
      </c>
      <c r="B929" t="s">
        <v>9</v>
      </c>
      <c r="C929" t="s">
        <v>10</v>
      </c>
      <c r="D929" t="s">
        <v>26</v>
      </c>
      <c r="E929">
        <v>41603.74</v>
      </c>
      <c r="F929">
        <v>3</v>
      </c>
      <c r="G929">
        <v>124811.22</v>
      </c>
      <c r="H929" s="1">
        <v>46111</v>
      </c>
      <c r="I929" t="s">
        <v>22</v>
      </c>
    </row>
    <row r="930" spans="1:9" x14ac:dyDescent="0.3">
      <c r="A930" t="s">
        <v>958</v>
      </c>
      <c r="B930" t="s">
        <v>20</v>
      </c>
      <c r="C930" t="s">
        <v>21</v>
      </c>
      <c r="D930" t="s">
        <v>11</v>
      </c>
      <c r="E930">
        <v>11102.77</v>
      </c>
      <c r="F930">
        <v>2</v>
      </c>
      <c r="G930">
        <v>22205.54</v>
      </c>
      <c r="H930" s="1">
        <v>46100</v>
      </c>
      <c r="I930" t="s">
        <v>17</v>
      </c>
    </row>
    <row r="931" spans="1:9" x14ac:dyDescent="0.3">
      <c r="A931" t="s">
        <v>959</v>
      </c>
      <c r="B931" t="s">
        <v>9</v>
      </c>
      <c r="C931" t="s">
        <v>10</v>
      </c>
      <c r="D931" t="s">
        <v>16</v>
      </c>
      <c r="E931">
        <v>10946.26</v>
      </c>
      <c r="F931">
        <v>1</v>
      </c>
      <c r="G931">
        <v>10946.26</v>
      </c>
      <c r="H931" s="1">
        <v>46109</v>
      </c>
      <c r="I931" t="s">
        <v>22</v>
      </c>
    </row>
    <row r="932" spans="1:9" x14ac:dyDescent="0.3">
      <c r="A932" t="s">
        <v>960</v>
      </c>
      <c r="B932" t="s">
        <v>38</v>
      </c>
      <c r="C932" t="s">
        <v>39</v>
      </c>
      <c r="D932" t="s">
        <v>26</v>
      </c>
      <c r="E932">
        <v>27039.98</v>
      </c>
      <c r="F932">
        <v>3</v>
      </c>
      <c r="G932">
        <v>81119.94</v>
      </c>
      <c r="H932" s="1">
        <v>46148</v>
      </c>
      <c r="I932" t="s">
        <v>22</v>
      </c>
    </row>
    <row r="933" spans="1:9" x14ac:dyDescent="0.3">
      <c r="A933" t="s">
        <v>961</v>
      </c>
      <c r="B933" t="s">
        <v>38</v>
      </c>
      <c r="C933" t="s">
        <v>39</v>
      </c>
      <c r="D933" t="s">
        <v>26</v>
      </c>
      <c r="E933">
        <v>29719.360000000001</v>
      </c>
      <c r="F933">
        <v>1</v>
      </c>
      <c r="G933">
        <v>29719.360000000001</v>
      </c>
      <c r="H933" s="1">
        <v>46026</v>
      </c>
      <c r="I933" t="s">
        <v>27</v>
      </c>
    </row>
    <row r="934" spans="1:9" x14ac:dyDescent="0.3">
      <c r="A934" t="s">
        <v>962</v>
      </c>
      <c r="B934" t="s">
        <v>14</v>
      </c>
      <c r="C934" t="s">
        <v>15</v>
      </c>
      <c r="D934" t="s">
        <v>47</v>
      </c>
      <c r="E934">
        <v>4130.3100000000004</v>
      </c>
      <c r="F934">
        <v>3</v>
      </c>
      <c r="G934">
        <v>12390.93</v>
      </c>
      <c r="H934" s="1">
        <v>46027</v>
      </c>
      <c r="I934" t="s">
        <v>22</v>
      </c>
    </row>
    <row r="935" spans="1:9" x14ac:dyDescent="0.3">
      <c r="A935" t="s">
        <v>963</v>
      </c>
      <c r="B935" t="s">
        <v>9</v>
      </c>
      <c r="C935" t="s">
        <v>10</v>
      </c>
      <c r="D935" t="s">
        <v>47</v>
      </c>
      <c r="E935">
        <v>384.6</v>
      </c>
      <c r="F935">
        <v>1</v>
      </c>
      <c r="G935">
        <v>384.6</v>
      </c>
      <c r="H935" s="1">
        <v>46158</v>
      </c>
      <c r="I935" t="s">
        <v>12</v>
      </c>
    </row>
    <row r="936" spans="1:9" x14ac:dyDescent="0.3">
      <c r="A936" t="s">
        <v>964</v>
      </c>
      <c r="B936" t="s">
        <v>9</v>
      </c>
      <c r="C936" t="s">
        <v>10</v>
      </c>
      <c r="D936" t="s">
        <v>26</v>
      </c>
      <c r="E936">
        <v>25357.439999999999</v>
      </c>
      <c r="F936">
        <v>2</v>
      </c>
      <c r="G936">
        <v>50714.879999999997</v>
      </c>
      <c r="H936" s="1">
        <v>46030</v>
      </c>
      <c r="I936" t="s">
        <v>22</v>
      </c>
    </row>
    <row r="937" spans="1:9" x14ac:dyDescent="0.3">
      <c r="A937" t="s">
        <v>965</v>
      </c>
      <c r="B937" t="s">
        <v>24</v>
      </c>
      <c r="C937" t="s">
        <v>25</v>
      </c>
      <c r="D937" t="s">
        <v>11</v>
      </c>
      <c r="E937">
        <v>20355.38</v>
      </c>
      <c r="F937">
        <v>2</v>
      </c>
      <c r="G937">
        <v>40710.76</v>
      </c>
      <c r="H937" s="1">
        <v>46139</v>
      </c>
      <c r="I937" t="s">
        <v>17</v>
      </c>
    </row>
    <row r="938" spans="1:9" x14ac:dyDescent="0.3">
      <c r="A938" t="s">
        <v>966</v>
      </c>
      <c r="B938" t="s">
        <v>29</v>
      </c>
      <c r="C938" t="s">
        <v>30</v>
      </c>
      <c r="D938" t="s">
        <v>16</v>
      </c>
      <c r="E938">
        <v>4309.45</v>
      </c>
      <c r="F938">
        <v>5</v>
      </c>
      <c r="G938">
        <v>21547.25</v>
      </c>
      <c r="H938" s="1">
        <v>46235</v>
      </c>
      <c r="I938" t="s">
        <v>17</v>
      </c>
    </row>
    <row r="939" spans="1:9" x14ac:dyDescent="0.3">
      <c r="A939" t="s">
        <v>967</v>
      </c>
      <c r="B939" t="s">
        <v>24</v>
      </c>
      <c r="C939" t="s">
        <v>25</v>
      </c>
      <c r="D939" t="s">
        <v>26</v>
      </c>
      <c r="E939">
        <v>32805.980000000003</v>
      </c>
      <c r="F939">
        <v>3</v>
      </c>
      <c r="G939">
        <v>98417.94</v>
      </c>
      <c r="H939" s="1">
        <v>46034</v>
      </c>
      <c r="I939" t="s">
        <v>27</v>
      </c>
    </row>
    <row r="940" spans="1:9" x14ac:dyDescent="0.3">
      <c r="A940" t="s">
        <v>968</v>
      </c>
      <c r="B940" t="s">
        <v>29</v>
      </c>
      <c r="C940" t="s">
        <v>30</v>
      </c>
      <c r="D940" t="s">
        <v>31</v>
      </c>
      <c r="E940">
        <v>2513.6</v>
      </c>
      <c r="F940">
        <v>9</v>
      </c>
      <c r="G940">
        <v>22622.400000000001</v>
      </c>
      <c r="H940" s="1">
        <v>46248</v>
      </c>
      <c r="I940" t="s">
        <v>27</v>
      </c>
    </row>
    <row r="941" spans="1:9" x14ac:dyDescent="0.3">
      <c r="A941" t="s">
        <v>969</v>
      </c>
      <c r="B941" t="s">
        <v>24</v>
      </c>
      <c r="C941" t="s">
        <v>25</v>
      </c>
      <c r="D941" t="s">
        <v>11</v>
      </c>
      <c r="E941">
        <v>7716.79</v>
      </c>
      <c r="F941">
        <v>1</v>
      </c>
      <c r="G941">
        <v>7716.79</v>
      </c>
      <c r="H941" s="1">
        <v>46249</v>
      </c>
      <c r="I941" t="s">
        <v>27</v>
      </c>
    </row>
    <row r="942" spans="1:9" x14ac:dyDescent="0.3">
      <c r="A942" t="s">
        <v>970</v>
      </c>
      <c r="B942" t="s">
        <v>38</v>
      </c>
      <c r="C942" t="s">
        <v>39</v>
      </c>
      <c r="D942" t="s">
        <v>31</v>
      </c>
      <c r="E942">
        <v>411.55</v>
      </c>
      <c r="F942">
        <v>1</v>
      </c>
      <c r="G942">
        <v>411.55</v>
      </c>
      <c r="H942" s="1">
        <v>46232</v>
      </c>
      <c r="I942" t="s">
        <v>12</v>
      </c>
    </row>
    <row r="943" spans="1:9" x14ac:dyDescent="0.3">
      <c r="A943" t="s">
        <v>971</v>
      </c>
      <c r="B943" t="s">
        <v>9</v>
      </c>
      <c r="C943" t="s">
        <v>10</v>
      </c>
      <c r="D943" t="s">
        <v>16</v>
      </c>
      <c r="E943">
        <v>2472.1999999999998</v>
      </c>
      <c r="F943">
        <v>5</v>
      </c>
      <c r="G943">
        <v>12361</v>
      </c>
      <c r="H943" s="1">
        <v>46251</v>
      </c>
      <c r="I943" t="s">
        <v>27</v>
      </c>
    </row>
    <row r="944" spans="1:9" x14ac:dyDescent="0.3">
      <c r="A944" t="s">
        <v>972</v>
      </c>
      <c r="B944" t="s">
        <v>24</v>
      </c>
      <c r="C944" t="s">
        <v>25</v>
      </c>
      <c r="D944" t="s">
        <v>31</v>
      </c>
      <c r="E944">
        <v>994.88</v>
      </c>
      <c r="F944">
        <v>10</v>
      </c>
      <c r="G944">
        <v>9948.7999999999993</v>
      </c>
      <c r="H944" s="1">
        <v>46318</v>
      </c>
      <c r="I944" t="s">
        <v>12</v>
      </c>
    </row>
    <row r="945" spans="1:9" x14ac:dyDescent="0.3">
      <c r="A945" t="s">
        <v>973</v>
      </c>
      <c r="B945" t="s">
        <v>14</v>
      </c>
      <c r="C945" t="s">
        <v>15</v>
      </c>
      <c r="D945" t="s">
        <v>11</v>
      </c>
      <c r="E945">
        <v>45935.92</v>
      </c>
      <c r="F945">
        <v>1</v>
      </c>
      <c r="G945">
        <v>45935.92</v>
      </c>
      <c r="H945" s="1">
        <v>46048</v>
      </c>
      <c r="I945" t="s">
        <v>27</v>
      </c>
    </row>
    <row r="946" spans="1:9" x14ac:dyDescent="0.3">
      <c r="A946" t="s">
        <v>974</v>
      </c>
      <c r="B946" t="s">
        <v>14</v>
      </c>
      <c r="C946" t="s">
        <v>15</v>
      </c>
      <c r="D946" t="s">
        <v>47</v>
      </c>
      <c r="E946">
        <v>1504.73</v>
      </c>
      <c r="F946">
        <v>1</v>
      </c>
      <c r="G946">
        <v>1504.73</v>
      </c>
      <c r="H946" s="1">
        <v>46084</v>
      </c>
      <c r="I946" t="s">
        <v>27</v>
      </c>
    </row>
    <row r="947" spans="1:9" x14ac:dyDescent="0.3">
      <c r="A947" t="s">
        <v>975</v>
      </c>
      <c r="B947" t="s">
        <v>38</v>
      </c>
      <c r="C947" t="s">
        <v>39</v>
      </c>
      <c r="D947" t="s">
        <v>33</v>
      </c>
      <c r="E947">
        <v>17669.87</v>
      </c>
      <c r="F947">
        <v>3</v>
      </c>
      <c r="G947">
        <v>53009.61</v>
      </c>
      <c r="H947" s="1">
        <v>46138</v>
      </c>
      <c r="I947" t="s">
        <v>17</v>
      </c>
    </row>
    <row r="948" spans="1:9" x14ac:dyDescent="0.3">
      <c r="A948" t="s">
        <v>976</v>
      </c>
      <c r="B948" t="s">
        <v>20</v>
      </c>
      <c r="C948" t="s">
        <v>21</v>
      </c>
      <c r="D948" t="s">
        <v>11</v>
      </c>
      <c r="E948">
        <v>16364.24</v>
      </c>
      <c r="F948">
        <v>1</v>
      </c>
      <c r="G948">
        <v>16364.24</v>
      </c>
      <c r="H948" s="1">
        <v>46274</v>
      </c>
      <c r="I948" t="s">
        <v>17</v>
      </c>
    </row>
    <row r="949" spans="1:9" x14ac:dyDescent="0.3">
      <c r="A949" t="s">
        <v>977</v>
      </c>
      <c r="B949" t="s">
        <v>9</v>
      </c>
      <c r="C949" t="s">
        <v>10</v>
      </c>
      <c r="D949" t="s">
        <v>33</v>
      </c>
      <c r="E949">
        <v>2095.29</v>
      </c>
      <c r="F949">
        <v>1</v>
      </c>
      <c r="G949">
        <v>2095.29</v>
      </c>
      <c r="H949" s="1">
        <v>46341</v>
      </c>
      <c r="I949" t="s">
        <v>12</v>
      </c>
    </row>
    <row r="950" spans="1:9" x14ac:dyDescent="0.3">
      <c r="A950" t="s">
        <v>978</v>
      </c>
      <c r="B950" t="s">
        <v>9</v>
      </c>
      <c r="C950" t="s">
        <v>10</v>
      </c>
      <c r="D950" t="s">
        <v>11</v>
      </c>
      <c r="E950">
        <v>65780.350000000006</v>
      </c>
      <c r="F950">
        <v>3</v>
      </c>
      <c r="G950">
        <v>197341.05</v>
      </c>
      <c r="H950" s="1">
        <v>46358</v>
      </c>
      <c r="I950" t="s">
        <v>12</v>
      </c>
    </row>
    <row r="951" spans="1:9" x14ac:dyDescent="0.3">
      <c r="A951" t="s">
        <v>979</v>
      </c>
      <c r="B951" t="s">
        <v>38</v>
      </c>
      <c r="C951" t="s">
        <v>39</v>
      </c>
      <c r="D951" t="s">
        <v>33</v>
      </c>
      <c r="E951">
        <v>6117.95</v>
      </c>
      <c r="F951">
        <v>2</v>
      </c>
      <c r="G951">
        <v>12235.9</v>
      </c>
      <c r="H951" s="1">
        <v>46235</v>
      </c>
      <c r="I951" t="s">
        <v>12</v>
      </c>
    </row>
    <row r="952" spans="1:9" x14ac:dyDescent="0.3">
      <c r="A952" t="s">
        <v>980</v>
      </c>
      <c r="B952" t="s">
        <v>14</v>
      </c>
      <c r="C952" t="s">
        <v>15</v>
      </c>
      <c r="D952" t="s">
        <v>33</v>
      </c>
      <c r="E952">
        <v>8680.83</v>
      </c>
      <c r="F952">
        <v>1</v>
      </c>
      <c r="G952">
        <v>8680.83</v>
      </c>
      <c r="H952" s="1">
        <v>46172</v>
      </c>
      <c r="I952" t="s">
        <v>27</v>
      </c>
    </row>
    <row r="953" spans="1:9" x14ac:dyDescent="0.3">
      <c r="A953" t="s">
        <v>981</v>
      </c>
      <c r="B953" t="s">
        <v>38</v>
      </c>
      <c r="C953" t="s">
        <v>39</v>
      </c>
      <c r="D953" t="s">
        <v>11</v>
      </c>
      <c r="E953">
        <v>71959.759999999995</v>
      </c>
      <c r="F953">
        <v>2</v>
      </c>
      <c r="G953">
        <v>143919.51999999999</v>
      </c>
      <c r="H953" s="1">
        <v>46173</v>
      </c>
      <c r="I953" t="s">
        <v>12</v>
      </c>
    </row>
    <row r="954" spans="1:9" x14ac:dyDescent="0.3">
      <c r="A954" t="s">
        <v>982</v>
      </c>
      <c r="B954" t="s">
        <v>38</v>
      </c>
      <c r="C954" t="s">
        <v>39</v>
      </c>
      <c r="D954" t="s">
        <v>47</v>
      </c>
      <c r="E954">
        <v>7560.52</v>
      </c>
      <c r="F954">
        <v>2</v>
      </c>
      <c r="G954">
        <v>15121.04</v>
      </c>
      <c r="H954" s="1">
        <v>46044</v>
      </c>
      <c r="I954" t="s">
        <v>27</v>
      </c>
    </row>
    <row r="955" spans="1:9" x14ac:dyDescent="0.3">
      <c r="A955" t="s">
        <v>983</v>
      </c>
      <c r="B955" t="s">
        <v>24</v>
      </c>
      <c r="C955" t="s">
        <v>25</v>
      </c>
      <c r="D955" t="s">
        <v>33</v>
      </c>
      <c r="E955">
        <v>14383.86</v>
      </c>
      <c r="F955">
        <v>3</v>
      </c>
      <c r="G955">
        <v>43151.58</v>
      </c>
      <c r="H955" s="1">
        <v>46192</v>
      </c>
      <c r="I955" t="s">
        <v>12</v>
      </c>
    </row>
    <row r="956" spans="1:9" x14ac:dyDescent="0.3">
      <c r="A956" t="s">
        <v>984</v>
      </c>
      <c r="B956" t="s">
        <v>29</v>
      </c>
      <c r="C956" t="s">
        <v>30</v>
      </c>
      <c r="D956" t="s">
        <v>33</v>
      </c>
      <c r="E956">
        <v>1658.1</v>
      </c>
      <c r="F956">
        <v>4</v>
      </c>
      <c r="G956">
        <v>6632.4</v>
      </c>
      <c r="H956" s="1">
        <v>46210</v>
      </c>
      <c r="I956" t="s">
        <v>17</v>
      </c>
    </row>
    <row r="957" spans="1:9" x14ac:dyDescent="0.3">
      <c r="A957" t="s">
        <v>985</v>
      </c>
      <c r="B957" t="s">
        <v>29</v>
      </c>
      <c r="C957" t="s">
        <v>30</v>
      </c>
      <c r="D957" t="s">
        <v>33</v>
      </c>
      <c r="E957">
        <v>11988.8</v>
      </c>
      <c r="F957">
        <v>1</v>
      </c>
      <c r="G957">
        <v>11988.8</v>
      </c>
      <c r="H957" s="1">
        <v>46099</v>
      </c>
      <c r="I957" t="s">
        <v>17</v>
      </c>
    </row>
    <row r="958" spans="1:9" x14ac:dyDescent="0.3">
      <c r="A958" t="s">
        <v>986</v>
      </c>
      <c r="B958" t="s">
        <v>9</v>
      </c>
      <c r="C958" t="s">
        <v>10</v>
      </c>
      <c r="D958" t="s">
        <v>16</v>
      </c>
      <c r="E958">
        <v>11872.21</v>
      </c>
      <c r="F958">
        <v>4</v>
      </c>
      <c r="G958">
        <v>47488.84</v>
      </c>
      <c r="H958" s="1">
        <v>46303</v>
      </c>
      <c r="I958" t="s">
        <v>27</v>
      </c>
    </row>
    <row r="959" spans="1:9" x14ac:dyDescent="0.3">
      <c r="A959" t="s">
        <v>987</v>
      </c>
      <c r="B959" t="s">
        <v>14</v>
      </c>
      <c r="C959" t="s">
        <v>15</v>
      </c>
      <c r="D959" t="s">
        <v>11</v>
      </c>
      <c r="E959">
        <v>71061.179999999993</v>
      </c>
      <c r="F959">
        <v>3</v>
      </c>
      <c r="G959">
        <v>213183.54</v>
      </c>
      <c r="H959" s="1">
        <v>46319</v>
      </c>
      <c r="I959" t="s">
        <v>27</v>
      </c>
    </row>
    <row r="960" spans="1:9" x14ac:dyDescent="0.3">
      <c r="A960" t="s">
        <v>988</v>
      </c>
      <c r="B960" t="s">
        <v>14</v>
      </c>
      <c r="C960" t="s">
        <v>15</v>
      </c>
      <c r="D960" t="s">
        <v>47</v>
      </c>
      <c r="E960">
        <v>937.42</v>
      </c>
      <c r="F960">
        <v>3</v>
      </c>
      <c r="G960">
        <v>2812.26</v>
      </c>
      <c r="H960" s="1">
        <v>46133</v>
      </c>
      <c r="I960" t="s">
        <v>27</v>
      </c>
    </row>
    <row r="961" spans="1:9" x14ac:dyDescent="0.3">
      <c r="A961" t="s">
        <v>989</v>
      </c>
      <c r="B961" t="s">
        <v>14</v>
      </c>
      <c r="C961" t="s">
        <v>15</v>
      </c>
      <c r="D961" t="s">
        <v>26</v>
      </c>
      <c r="E961">
        <v>20402.400000000001</v>
      </c>
      <c r="F961">
        <v>3</v>
      </c>
      <c r="G961">
        <v>61207.199999999997</v>
      </c>
      <c r="H961" s="1">
        <v>46356</v>
      </c>
      <c r="I961" t="s">
        <v>12</v>
      </c>
    </row>
    <row r="962" spans="1:9" x14ac:dyDescent="0.3">
      <c r="A962" t="s">
        <v>990</v>
      </c>
      <c r="B962" t="s">
        <v>14</v>
      </c>
      <c r="C962" t="s">
        <v>15</v>
      </c>
      <c r="D962" t="s">
        <v>26</v>
      </c>
      <c r="E962">
        <v>16461.3</v>
      </c>
      <c r="F962">
        <v>2</v>
      </c>
      <c r="G962">
        <v>32922.6</v>
      </c>
      <c r="H962" s="1">
        <v>46062</v>
      </c>
      <c r="I962" t="s">
        <v>12</v>
      </c>
    </row>
    <row r="963" spans="1:9" x14ac:dyDescent="0.3">
      <c r="A963" t="s">
        <v>991</v>
      </c>
      <c r="B963" t="s">
        <v>14</v>
      </c>
      <c r="C963" t="s">
        <v>15</v>
      </c>
      <c r="D963" t="s">
        <v>31</v>
      </c>
      <c r="E963">
        <v>692.15</v>
      </c>
      <c r="F963">
        <v>5</v>
      </c>
      <c r="G963">
        <v>3460.75</v>
      </c>
      <c r="H963" s="1">
        <v>46355</v>
      </c>
      <c r="I963" t="s">
        <v>12</v>
      </c>
    </row>
    <row r="964" spans="1:9" x14ac:dyDescent="0.3">
      <c r="A964" t="s">
        <v>992</v>
      </c>
      <c r="B964" t="s">
        <v>24</v>
      </c>
      <c r="C964" t="s">
        <v>25</v>
      </c>
      <c r="D964" t="s">
        <v>16</v>
      </c>
      <c r="E964">
        <v>8429.14</v>
      </c>
      <c r="F964">
        <v>5</v>
      </c>
      <c r="G964">
        <v>42145.7</v>
      </c>
      <c r="H964" s="1">
        <v>46303</v>
      </c>
      <c r="I964" t="s">
        <v>27</v>
      </c>
    </row>
    <row r="965" spans="1:9" x14ac:dyDescent="0.3">
      <c r="A965" t="s">
        <v>993</v>
      </c>
      <c r="B965" t="s">
        <v>24</v>
      </c>
      <c r="C965" t="s">
        <v>25</v>
      </c>
      <c r="D965" t="s">
        <v>11</v>
      </c>
      <c r="E965">
        <v>21119.55</v>
      </c>
      <c r="F965">
        <v>2</v>
      </c>
      <c r="G965">
        <v>42239.1</v>
      </c>
      <c r="H965" s="1">
        <v>46104</v>
      </c>
      <c r="I965" t="s">
        <v>22</v>
      </c>
    </row>
    <row r="966" spans="1:9" x14ac:dyDescent="0.3">
      <c r="A966" t="s">
        <v>994</v>
      </c>
      <c r="B966" t="s">
        <v>29</v>
      </c>
      <c r="C966" t="s">
        <v>30</v>
      </c>
      <c r="D966" t="s">
        <v>47</v>
      </c>
      <c r="E966">
        <v>2824.44</v>
      </c>
      <c r="F966">
        <v>5</v>
      </c>
      <c r="G966">
        <v>14122.2</v>
      </c>
      <c r="H966" s="1">
        <v>46260</v>
      </c>
      <c r="I966" t="s">
        <v>27</v>
      </c>
    </row>
    <row r="967" spans="1:9" x14ac:dyDescent="0.3">
      <c r="A967" t="s">
        <v>995</v>
      </c>
      <c r="B967" t="s">
        <v>14</v>
      </c>
      <c r="C967" t="s">
        <v>15</v>
      </c>
      <c r="D967" t="s">
        <v>11</v>
      </c>
      <c r="E967">
        <v>7504.63</v>
      </c>
      <c r="F967">
        <v>3</v>
      </c>
      <c r="G967">
        <v>22513.89</v>
      </c>
      <c r="H967" s="1">
        <v>46136</v>
      </c>
      <c r="I967" t="s">
        <v>22</v>
      </c>
    </row>
    <row r="968" spans="1:9" x14ac:dyDescent="0.3">
      <c r="A968" t="s">
        <v>996</v>
      </c>
      <c r="B968" t="s">
        <v>29</v>
      </c>
      <c r="C968" t="s">
        <v>30</v>
      </c>
      <c r="D968" t="s">
        <v>26</v>
      </c>
      <c r="E968">
        <v>25400.41</v>
      </c>
      <c r="F968">
        <v>3</v>
      </c>
      <c r="G968">
        <v>76201.23</v>
      </c>
      <c r="H968" s="1">
        <v>46314</v>
      </c>
      <c r="I968" t="s">
        <v>17</v>
      </c>
    </row>
    <row r="969" spans="1:9" x14ac:dyDescent="0.3">
      <c r="A969" t="s">
        <v>997</v>
      </c>
      <c r="B969" t="s">
        <v>24</v>
      </c>
      <c r="C969" t="s">
        <v>25</v>
      </c>
      <c r="D969" t="s">
        <v>47</v>
      </c>
      <c r="E969">
        <v>1349.53</v>
      </c>
      <c r="F969">
        <v>2</v>
      </c>
      <c r="G969">
        <v>2699.06</v>
      </c>
      <c r="H969" s="1">
        <v>46081</v>
      </c>
      <c r="I969" t="s">
        <v>27</v>
      </c>
    </row>
    <row r="970" spans="1:9" x14ac:dyDescent="0.3">
      <c r="A970" t="s">
        <v>998</v>
      </c>
      <c r="B970" t="s">
        <v>14</v>
      </c>
      <c r="C970" t="s">
        <v>15</v>
      </c>
      <c r="D970" t="s">
        <v>16</v>
      </c>
      <c r="E970">
        <v>5355.46</v>
      </c>
      <c r="F970">
        <v>2</v>
      </c>
      <c r="G970">
        <v>10710.92</v>
      </c>
      <c r="H970" s="1">
        <v>46112</v>
      </c>
      <c r="I970" t="s">
        <v>22</v>
      </c>
    </row>
    <row r="971" spans="1:9" x14ac:dyDescent="0.3">
      <c r="A971" t="s">
        <v>999</v>
      </c>
      <c r="B971" t="s">
        <v>24</v>
      </c>
      <c r="C971" t="s">
        <v>25</v>
      </c>
      <c r="D971" t="s">
        <v>16</v>
      </c>
      <c r="E971">
        <v>1977.1</v>
      </c>
      <c r="F971">
        <v>5</v>
      </c>
      <c r="G971">
        <v>9885.5</v>
      </c>
      <c r="H971" s="1">
        <v>46135</v>
      </c>
      <c r="I971" t="s">
        <v>27</v>
      </c>
    </row>
    <row r="972" spans="1:9" x14ac:dyDescent="0.3">
      <c r="A972" t="s">
        <v>1000</v>
      </c>
      <c r="B972" t="s">
        <v>38</v>
      </c>
      <c r="C972" t="s">
        <v>39</v>
      </c>
      <c r="D972" t="s">
        <v>31</v>
      </c>
      <c r="E972">
        <v>4771.5600000000004</v>
      </c>
      <c r="F972">
        <v>7</v>
      </c>
      <c r="G972">
        <v>33400.92</v>
      </c>
      <c r="H972" s="1">
        <v>46095</v>
      </c>
      <c r="I972" t="s">
        <v>17</v>
      </c>
    </row>
    <row r="973" spans="1:9" x14ac:dyDescent="0.3">
      <c r="A973" t="s">
        <v>1001</v>
      </c>
      <c r="B973" t="s">
        <v>24</v>
      </c>
      <c r="C973" t="s">
        <v>25</v>
      </c>
      <c r="D973" t="s">
        <v>33</v>
      </c>
      <c r="E973">
        <v>3156.16</v>
      </c>
      <c r="F973">
        <v>2</v>
      </c>
      <c r="G973">
        <v>6312.32</v>
      </c>
      <c r="H973" s="1">
        <v>46144</v>
      </c>
      <c r="I973" t="s">
        <v>22</v>
      </c>
    </row>
    <row r="974" spans="1:9" x14ac:dyDescent="0.3">
      <c r="A974" t="s">
        <v>1002</v>
      </c>
      <c r="B974" t="s">
        <v>24</v>
      </c>
      <c r="C974" t="s">
        <v>25</v>
      </c>
      <c r="D974" t="s">
        <v>47</v>
      </c>
      <c r="E974">
        <v>4222.91</v>
      </c>
      <c r="F974">
        <v>2</v>
      </c>
      <c r="G974">
        <v>8445.82</v>
      </c>
      <c r="H974" s="1">
        <v>46242</v>
      </c>
      <c r="I974" t="s">
        <v>27</v>
      </c>
    </row>
    <row r="975" spans="1:9" x14ac:dyDescent="0.3">
      <c r="A975" t="s">
        <v>1003</v>
      </c>
      <c r="B975" t="s">
        <v>29</v>
      </c>
      <c r="C975" t="s">
        <v>30</v>
      </c>
      <c r="D975" t="s">
        <v>31</v>
      </c>
      <c r="E975">
        <v>1025.05</v>
      </c>
      <c r="F975">
        <v>8</v>
      </c>
      <c r="G975">
        <v>8200.4</v>
      </c>
      <c r="H975" s="1">
        <v>46254</v>
      </c>
      <c r="I975" t="s">
        <v>12</v>
      </c>
    </row>
    <row r="976" spans="1:9" x14ac:dyDescent="0.3">
      <c r="A976" t="s">
        <v>1004</v>
      </c>
      <c r="B976" t="s">
        <v>38</v>
      </c>
      <c r="C976" t="s">
        <v>39</v>
      </c>
      <c r="D976" t="s">
        <v>11</v>
      </c>
      <c r="E976">
        <v>6466.05</v>
      </c>
      <c r="F976">
        <v>1</v>
      </c>
      <c r="G976">
        <v>6466.05</v>
      </c>
      <c r="H976" s="1">
        <v>46225</v>
      </c>
      <c r="I976" t="s">
        <v>17</v>
      </c>
    </row>
    <row r="977" spans="1:9" x14ac:dyDescent="0.3">
      <c r="A977" t="s">
        <v>1005</v>
      </c>
      <c r="B977" t="s">
        <v>20</v>
      </c>
      <c r="C977" t="s">
        <v>21</v>
      </c>
      <c r="D977" t="s">
        <v>11</v>
      </c>
      <c r="E977">
        <v>15811.3</v>
      </c>
      <c r="F977">
        <v>1</v>
      </c>
      <c r="G977">
        <v>15811.3</v>
      </c>
      <c r="H977" s="1">
        <v>46092</v>
      </c>
      <c r="I977" t="s">
        <v>12</v>
      </c>
    </row>
    <row r="978" spans="1:9" x14ac:dyDescent="0.3">
      <c r="A978" t="s">
        <v>1006</v>
      </c>
      <c r="B978" t="s">
        <v>14</v>
      </c>
      <c r="C978" t="s">
        <v>15</v>
      </c>
      <c r="D978" t="s">
        <v>16</v>
      </c>
      <c r="E978">
        <v>940.86</v>
      </c>
      <c r="F978">
        <v>4</v>
      </c>
      <c r="G978">
        <v>3763.44</v>
      </c>
      <c r="H978" s="1">
        <v>46096</v>
      </c>
      <c r="I978" t="s">
        <v>22</v>
      </c>
    </row>
    <row r="979" spans="1:9" x14ac:dyDescent="0.3">
      <c r="A979" t="s">
        <v>1007</v>
      </c>
      <c r="B979" t="s">
        <v>14</v>
      </c>
      <c r="C979" t="s">
        <v>15</v>
      </c>
      <c r="D979" t="s">
        <v>33</v>
      </c>
      <c r="E979">
        <v>3046.13</v>
      </c>
      <c r="F979">
        <v>2</v>
      </c>
      <c r="G979">
        <v>6092.26</v>
      </c>
      <c r="H979" s="1">
        <v>46358</v>
      </c>
      <c r="I979" t="s">
        <v>12</v>
      </c>
    </row>
    <row r="980" spans="1:9" x14ac:dyDescent="0.3">
      <c r="A980" t="s">
        <v>1008</v>
      </c>
      <c r="B980" t="s">
        <v>14</v>
      </c>
      <c r="C980" t="s">
        <v>15</v>
      </c>
      <c r="D980" t="s">
        <v>47</v>
      </c>
      <c r="E980">
        <v>3998.52</v>
      </c>
      <c r="F980">
        <v>4</v>
      </c>
      <c r="G980">
        <v>15994.08</v>
      </c>
      <c r="H980" s="1">
        <v>46114</v>
      </c>
      <c r="I980" t="s">
        <v>12</v>
      </c>
    </row>
    <row r="981" spans="1:9" x14ac:dyDescent="0.3">
      <c r="A981" t="s">
        <v>1009</v>
      </c>
      <c r="B981" t="s">
        <v>24</v>
      </c>
      <c r="C981" t="s">
        <v>25</v>
      </c>
      <c r="D981" t="s">
        <v>11</v>
      </c>
      <c r="E981">
        <v>49164.71</v>
      </c>
      <c r="F981">
        <v>2</v>
      </c>
      <c r="G981">
        <v>98329.42</v>
      </c>
      <c r="H981" s="1">
        <v>46060</v>
      </c>
      <c r="I981" t="s">
        <v>12</v>
      </c>
    </row>
    <row r="982" spans="1:9" x14ac:dyDescent="0.3">
      <c r="A982" t="s">
        <v>1010</v>
      </c>
      <c r="B982" t="s">
        <v>29</v>
      </c>
      <c r="C982" t="s">
        <v>30</v>
      </c>
      <c r="D982" t="s">
        <v>47</v>
      </c>
      <c r="E982">
        <v>789.98</v>
      </c>
      <c r="F982">
        <v>5</v>
      </c>
      <c r="G982">
        <v>3949.9</v>
      </c>
      <c r="H982" s="1">
        <v>46188</v>
      </c>
      <c r="I982" t="s">
        <v>22</v>
      </c>
    </row>
    <row r="983" spans="1:9" x14ac:dyDescent="0.3">
      <c r="A983" t="s">
        <v>1011</v>
      </c>
      <c r="B983" t="s">
        <v>9</v>
      </c>
      <c r="C983" t="s">
        <v>10</v>
      </c>
      <c r="D983" t="s">
        <v>31</v>
      </c>
      <c r="E983">
        <v>2233.04</v>
      </c>
      <c r="F983">
        <v>6</v>
      </c>
      <c r="G983">
        <v>13398.24</v>
      </c>
      <c r="H983" s="1">
        <v>46025</v>
      </c>
      <c r="I983" t="s">
        <v>27</v>
      </c>
    </row>
    <row r="984" spans="1:9" x14ac:dyDescent="0.3">
      <c r="A984" t="s">
        <v>1012</v>
      </c>
      <c r="B984" t="s">
        <v>9</v>
      </c>
      <c r="C984" t="s">
        <v>10</v>
      </c>
      <c r="D984" t="s">
        <v>47</v>
      </c>
      <c r="E984">
        <v>4691.8500000000004</v>
      </c>
      <c r="F984">
        <v>5</v>
      </c>
      <c r="G984">
        <v>23459.25</v>
      </c>
      <c r="H984" s="1">
        <v>46148</v>
      </c>
      <c r="I984" t="s">
        <v>27</v>
      </c>
    </row>
    <row r="985" spans="1:9" x14ac:dyDescent="0.3">
      <c r="A985" t="s">
        <v>1013</v>
      </c>
      <c r="B985" t="s">
        <v>14</v>
      </c>
      <c r="C985" t="s">
        <v>15</v>
      </c>
      <c r="D985" t="s">
        <v>31</v>
      </c>
      <c r="E985">
        <v>1209.42</v>
      </c>
      <c r="F985">
        <v>9</v>
      </c>
      <c r="G985">
        <v>10884.78</v>
      </c>
      <c r="H985" s="1">
        <v>46335</v>
      </c>
      <c r="I985" t="s">
        <v>22</v>
      </c>
    </row>
    <row r="986" spans="1:9" x14ac:dyDescent="0.3">
      <c r="A986" t="s">
        <v>1014</v>
      </c>
      <c r="B986" t="s">
        <v>24</v>
      </c>
      <c r="C986" t="s">
        <v>25</v>
      </c>
      <c r="D986" t="s">
        <v>26</v>
      </c>
      <c r="E986">
        <v>19231.84</v>
      </c>
      <c r="F986">
        <v>1</v>
      </c>
      <c r="G986">
        <v>19231.84</v>
      </c>
      <c r="H986" s="1">
        <v>46120</v>
      </c>
      <c r="I986" t="s">
        <v>27</v>
      </c>
    </row>
    <row r="987" spans="1:9" x14ac:dyDescent="0.3">
      <c r="A987" t="s">
        <v>1015</v>
      </c>
      <c r="B987" t="s">
        <v>29</v>
      </c>
      <c r="C987" t="s">
        <v>30</v>
      </c>
      <c r="D987" t="s">
        <v>33</v>
      </c>
      <c r="E987">
        <v>1715.15</v>
      </c>
      <c r="F987">
        <v>4</v>
      </c>
      <c r="G987">
        <v>6860.6</v>
      </c>
      <c r="H987" s="1">
        <v>46279</v>
      </c>
      <c r="I987" t="s">
        <v>27</v>
      </c>
    </row>
    <row r="988" spans="1:9" x14ac:dyDescent="0.3">
      <c r="A988" t="s">
        <v>1016</v>
      </c>
      <c r="B988" t="s">
        <v>38</v>
      </c>
      <c r="C988" t="s">
        <v>39</v>
      </c>
      <c r="D988" t="s">
        <v>31</v>
      </c>
      <c r="E988">
        <v>1139.6500000000001</v>
      </c>
      <c r="F988">
        <v>8</v>
      </c>
      <c r="G988">
        <v>9117.2000000000007</v>
      </c>
      <c r="H988" s="1">
        <v>46201</v>
      </c>
      <c r="I988" t="s">
        <v>27</v>
      </c>
    </row>
    <row r="989" spans="1:9" x14ac:dyDescent="0.3">
      <c r="A989" t="s">
        <v>1017</v>
      </c>
      <c r="B989" t="s">
        <v>24</v>
      </c>
      <c r="C989" t="s">
        <v>25</v>
      </c>
      <c r="D989" t="s">
        <v>26</v>
      </c>
      <c r="E989">
        <v>23870.89</v>
      </c>
      <c r="F989">
        <v>1</v>
      </c>
      <c r="G989">
        <v>23870.89</v>
      </c>
      <c r="H989" s="1">
        <v>46152</v>
      </c>
      <c r="I989" t="s">
        <v>22</v>
      </c>
    </row>
    <row r="990" spans="1:9" x14ac:dyDescent="0.3">
      <c r="A990" t="s">
        <v>1018</v>
      </c>
      <c r="B990" t="s">
        <v>38</v>
      </c>
      <c r="C990" t="s">
        <v>39</v>
      </c>
      <c r="D990" t="s">
        <v>33</v>
      </c>
      <c r="E990">
        <v>19811.71</v>
      </c>
      <c r="F990">
        <v>1</v>
      </c>
      <c r="G990">
        <v>19811.71</v>
      </c>
      <c r="H990" s="1">
        <v>46264</v>
      </c>
      <c r="I990" t="s">
        <v>27</v>
      </c>
    </row>
    <row r="991" spans="1:9" x14ac:dyDescent="0.3">
      <c r="A991" t="s">
        <v>1019</v>
      </c>
      <c r="B991" t="s">
        <v>9</v>
      </c>
      <c r="C991" t="s">
        <v>10</v>
      </c>
      <c r="D991" t="s">
        <v>11</v>
      </c>
      <c r="E991">
        <v>74722.87</v>
      </c>
      <c r="F991">
        <v>1</v>
      </c>
      <c r="G991">
        <v>74722.87</v>
      </c>
      <c r="H991" s="1">
        <v>46240</v>
      </c>
      <c r="I991" t="s">
        <v>22</v>
      </c>
    </row>
    <row r="992" spans="1:9" x14ac:dyDescent="0.3">
      <c r="A992" t="s">
        <v>1020</v>
      </c>
      <c r="B992" t="s">
        <v>20</v>
      </c>
      <c r="C992" t="s">
        <v>21</v>
      </c>
      <c r="D992" t="s">
        <v>11</v>
      </c>
      <c r="E992">
        <v>73487.929999999993</v>
      </c>
      <c r="F992">
        <v>1</v>
      </c>
      <c r="G992">
        <v>73487.929999999993</v>
      </c>
      <c r="H992" s="1">
        <v>46139</v>
      </c>
      <c r="I992" t="s">
        <v>12</v>
      </c>
    </row>
    <row r="993" spans="1:9" x14ac:dyDescent="0.3">
      <c r="A993" t="s">
        <v>1021</v>
      </c>
      <c r="B993" t="s">
        <v>9</v>
      </c>
      <c r="C993" t="s">
        <v>10</v>
      </c>
      <c r="D993" t="s">
        <v>26</v>
      </c>
      <c r="E993">
        <v>21731.23</v>
      </c>
      <c r="F993">
        <v>2</v>
      </c>
      <c r="G993">
        <v>43462.46</v>
      </c>
      <c r="H993" s="1">
        <v>46104</v>
      </c>
      <c r="I993" t="s">
        <v>12</v>
      </c>
    </row>
    <row r="994" spans="1:9" x14ac:dyDescent="0.3">
      <c r="A994" t="s">
        <v>1022</v>
      </c>
      <c r="B994" t="s">
        <v>9</v>
      </c>
      <c r="C994" t="s">
        <v>10</v>
      </c>
      <c r="D994" t="s">
        <v>31</v>
      </c>
      <c r="E994">
        <v>449.37</v>
      </c>
      <c r="F994">
        <v>10</v>
      </c>
      <c r="G994">
        <v>4493.7</v>
      </c>
      <c r="H994" s="1">
        <v>46357</v>
      </c>
      <c r="I994" t="s">
        <v>17</v>
      </c>
    </row>
    <row r="995" spans="1:9" x14ac:dyDescent="0.3">
      <c r="A995" t="s">
        <v>1023</v>
      </c>
      <c r="B995" t="s">
        <v>24</v>
      </c>
      <c r="C995" t="s">
        <v>25</v>
      </c>
      <c r="D995" t="s">
        <v>11</v>
      </c>
      <c r="E995">
        <v>24809.15</v>
      </c>
      <c r="F995">
        <v>2</v>
      </c>
      <c r="G995">
        <v>49618.3</v>
      </c>
      <c r="H995" s="1">
        <v>46084</v>
      </c>
      <c r="I995" t="s">
        <v>22</v>
      </c>
    </row>
    <row r="996" spans="1:9" x14ac:dyDescent="0.3">
      <c r="A996" t="s">
        <v>1024</v>
      </c>
      <c r="B996" t="s">
        <v>29</v>
      </c>
      <c r="C996" t="s">
        <v>30</v>
      </c>
      <c r="D996" t="s">
        <v>16</v>
      </c>
      <c r="E996">
        <v>3081.26</v>
      </c>
      <c r="F996">
        <v>1</v>
      </c>
      <c r="G996">
        <v>3081.26</v>
      </c>
      <c r="H996" s="1">
        <v>46373</v>
      </c>
      <c r="I996" t="s">
        <v>22</v>
      </c>
    </row>
    <row r="997" spans="1:9" x14ac:dyDescent="0.3">
      <c r="A997" t="s">
        <v>1025</v>
      </c>
      <c r="B997" t="s">
        <v>14</v>
      </c>
      <c r="C997" t="s">
        <v>15</v>
      </c>
      <c r="D997" t="s">
        <v>47</v>
      </c>
      <c r="E997">
        <v>211.6</v>
      </c>
      <c r="F997">
        <v>3</v>
      </c>
      <c r="G997">
        <v>634.79999999999995</v>
      </c>
      <c r="H997" s="1">
        <v>46194</v>
      </c>
      <c r="I997" t="s">
        <v>17</v>
      </c>
    </row>
    <row r="998" spans="1:9" x14ac:dyDescent="0.3">
      <c r="A998" t="s">
        <v>1026</v>
      </c>
      <c r="B998" t="s">
        <v>20</v>
      </c>
      <c r="C998" t="s">
        <v>21</v>
      </c>
      <c r="D998" t="s">
        <v>31</v>
      </c>
      <c r="E998">
        <v>521.41</v>
      </c>
      <c r="F998">
        <v>3</v>
      </c>
      <c r="G998">
        <v>1564.23</v>
      </c>
      <c r="H998" s="1">
        <v>46386</v>
      </c>
      <c r="I998" t="s">
        <v>22</v>
      </c>
    </row>
    <row r="999" spans="1:9" x14ac:dyDescent="0.3">
      <c r="A999" t="s">
        <v>1027</v>
      </c>
      <c r="B999" t="s">
        <v>24</v>
      </c>
      <c r="C999" t="s">
        <v>25</v>
      </c>
      <c r="D999" t="s">
        <v>31</v>
      </c>
      <c r="E999">
        <v>2293.3000000000002</v>
      </c>
      <c r="F999">
        <v>9</v>
      </c>
      <c r="G999">
        <v>20639.7</v>
      </c>
      <c r="H999" s="1">
        <v>46151</v>
      </c>
      <c r="I999" t="s">
        <v>27</v>
      </c>
    </row>
    <row r="1000" spans="1:9" x14ac:dyDescent="0.3">
      <c r="A1000" t="s">
        <v>1028</v>
      </c>
      <c r="B1000" t="s">
        <v>29</v>
      </c>
      <c r="C1000" t="s">
        <v>30</v>
      </c>
      <c r="D1000" t="s">
        <v>47</v>
      </c>
      <c r="E1000">
        <v>2783.33</v>
      </c>
      <c r="F1000">
        <v>1</v>
      </c>
      <c r="G1000">
        <v>2783.33</v>
      </c>
      <c r="H1000" s="1">
        <v>46229</v>
      </c>
      <c r="I1000" t="s">
        <v>12</v>
      </c>
    </row>
    <row r="1001" spans="1:9" x14ac:dyDescent="0.3">
      <c r="A1001" t="s">
        <v>1029</v>
      </c>
      <c r="B1001" t="s">
        <v>38</v>
      </c>
      <c r="C1001" t="s">
        <v>39</v>
      </c>
      <c r="D1001" t="s">
        <v>16</v>
      </c>
      <c r="E1001">
        <v>2410.14</v>
      </c>
      <c r="F1001">
        <v>4</v>
      </c>
      <c r="G1001">
        <v>9640.56</v>
      </c>
      <c r="H1001" s="1">
        <v>46247</v>
      </c>
      <c r="I1001" t="s">
        <v>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E694-FE4F-4B7D-98B4-B5BC218E0969}">
  <dimension ref="A1:B1"/>
  <sheetViews>
    <sheetView workbookViewId="0">
      <selection activeCell="D22" sqref="D22"/>
    </sheetView>
  </sheetViews>
  <sheetFormatPr defaultRowHeight="14.4" x14ac:dyDescent="0.3"/>
  <cols>
    <col min="1" max="1" width="24.88671875" bestFit="1" customWidth="1"/>
    <col min="2" max="2" width="22.5546875" bestFit="1" customWidth="1"/>
  </cols>
  <sheetData>
    <row r="1" spans="1:2" ht="24.6" x14ac:dyDescent="0.4">
      <c r="A1" s="5" t="s">
        <v>1031</v>
      </c>
      <c r="B1" s="5">
        <f>SUM(Supermarket_Sales_1000_Rows[Total_Sales])</f>
        <v>33976561.549999967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1F7EF-B2C4-4055-8D30-CB12BE219185}">
  <dimension ref="A1:B1"/>
  <sheetViews>
    <sheetView workbookViewId="0">
      <selection activeCell="D18" sqref="D18"/>
    </sheetView>
  </sheetViews>
  <sheetFormatPr defaultRowHeight="14.4" x14ac:dyDescent="0.3"/>
  <cols>
    <col min="1" max="1" width="29.77734375" bestFit="1" customWidth="1"/>
    <col min="2" max="2" width="22.5546875" bestFit="1" customWidth="1"/>
  </cols>
  <sheetData>
    <row r="1" spans="1:2" ht="24.6" x14ac:dyDescent="0.4">
      <c r="A1" s="6" t="s">
        <v>1032</v>
      </c>
      <c r="B1" s="6">
        <f>AVERAGE(Supermarket_Sales_1000_Rows[Total_Sales])</f>
        <v>33976.561549999969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2F16A-ECFC-4066-ACC1-606E44AC115C}">
  <dimension ref="A1:B1"/>
  <sheetViews>
    <sheetView workbookViewId="0">
      <selection activeCell="B9" sqref="B9"/>
    </sheetView>
  </sheetViews>
  <sheetFormatPr defaultRowHeight="14.4" x14ac:dyDescent="0.3"/>
  <cols>
    <col min="1" max="1" width="35.44140625" bestFit="1" customWidth="1"/>
    <col min="2" max="2" width="16.6640625" bestFit="1" customWidth="1"/>
  </cols>
  <sheetData>
    <row r="1" spans="1:2" ht="24.6" x14ac:dyDescent="0.4">
      <c r="A1" s="7" t="s">
        <v>1033</v>
      </c>
      <c r="B1" s="7">
        <f>MAX(Supermarket_Sales_1000_Rows[Total_Sales])</f>
        <v>222082.2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DC31A-DB85-4097-827D-C7D66A5C56DA}">
  <dimension ref="A2:B2"/>
  <sheetViews>
    <sheetView topLeftCell="A2" workbookViewId="0">
      <selection activeCell="B2" sqref="B2"/>
    </sheetView>
  </sheetViews>
  <sheetFormatPr defaultRowHeight="14.4" x14ac:dyDescent="0.3"/>
  <cols>
    <col min="1" max="1" width="29.33203125" bestFit="1" customWidth="1"/>
    <col min="2" max="2" width="10.88671875" bestFit="1" customWidth="1"/>
  </cols>
  <sheetData>
    <row r="2" spans="1:2" ht="24.6" x14ac:dyDescent="0.4">
      <c r="A2" s="8" t="s">
        <v>1034</v>
      </c>
      <c r="B2" s="8">
        <f>MIN(Supermarket_Sales_1000_Rows[Total_Sales])</f>
        <v>74.680000000000007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E20F-4667-4FA5-BF2F-75A21CFAA74A}">
  <dimension ref="A1:B1"/>
  <sheetViews>
    <sheetView workbookViewId="0">
      <selection activeCell="B1" sqref="B1"/>
    </sheetView>
  </sheetViews>
  <sheetFormatPr defaultRowHeight="14.4" x14ac:dyDescent="0.3"/>
  <cols>
    <col min="1" max="1" width="29.21875" bestFit="1" customWidth="1"/>
    <col min="2" max="2" width="9" bestFit="1" customWidth="1"/>
  </cols>
  <sheetData>
    <row r="1" spans="1:2" ht="24.6" x14ac:dyDescent="0.4">
      <c r="A1" s="2" t="s">
        <v>1035</v>
      </c>
      <c r="B1" s="2">
        <f>COUNTA(Supermarket_Sales_1000_Rows[Invoice_ID])</f>
        <v>1000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5A91-0F43-4361-A9EC-DD98E2162D6E}">
  <dimension ref="A1:C9"/>
  <sheetViews>
    <sheetView workbookViewId="0">
      <selection activeCell="F8" sqref="F8"/>
    </sheetView>
  </sheetViews>
  <sheetFormatPr defaultRowHeight="14.4" x14ac:dyDescent="0.3"/>
  <cols>
    <col min="1" max="1" width="31.109375" bestFit="1" customWidth="1"/>
    <col min="2" max="2" width="19.88671875" bestFit="1" customWidth="1"/>
  </cols>
  <sheetData>
    <row r="1" spans="1:3" ht="24.6" x14ac:dyDescent="0.4">
      <c r="A1" s="3" t="str" cm="1">
        <f t="array" ref="A1:A9">TRANSPOSE(Supermarket_Sales_1000_Rows[#Headers])</f>
        <v>Invoice_ID</v>
      </c>
      <c r="B1" s="3" t="str">
        <f>IF(OR(A1="Invoice_ID",A1="Branch",A1="City",A1="Product_Line",A1="Payment"),"Categorical",IF(A1="Date","Date",IF(COUNT(INDEX(Supermarket_Sales_1000_Rows[],0,MATCH(A1,Supermarket_Sales_1000_Rows[#Headers],0)))&gt;0,"Numerical","Categorical")))</f>
        <v>Categorical</v>
      </c>
      <c r="C1" s="4"/>
    </row>
    <row r="2" spans="1:3" ht="24.6" x14ac:dyDescent="0.4">
      <c r="A2" s="3" t="str">
        <v>Branch</v>
      </c>
      <c r="B2" s="3" t="str">
        <f>IF(OR(A2="Invoice_ID",A2="Branch",A2="City",A2="Product_Line",A2="Payment"),"Categorical",IF(A2="Date","Date",IF(COUNT(INDEX(Supermarket_Sales_1000_Rows[],0,MATCH(A2,Supermarket_Sales_1000_Rows[#Headers],0)))&gt;0,"Numerical","Categorical")))</f>
        <v>Categorical</v>
      </c>
      <c r="C2" s="4"/>
    </row>
    <row r="3" spans="1:3" ht="24.6" x14ac:dyDescent="0.4">
      <c r="A3" s="3" t="str">
        <v>City</v>
      </c>
      <c r="B3" s="3" t="str">
        <f>IF(OR(A3="Invoice_ID",A3="Branch",A3="City",A3="Product_Line",A3="Payment"),"Categorical",IF(A3="Date","Date",IF(COUNT(INDEX(Supermarket_Sales_1000_Rows[],0,MATCH(A3,Supermarket_Sales_1000_Rows[#Headers],0)))&gt;0,"Numerical","Categorical")))</f>
        <v>Categorical</v>
      </c>
      <c r="C3" s="4"/>
    </row>
    <row r="4" spans="1:3" ht="24.6" x14ac:dyDescent="0.4">
      <c r="A4" s="3" t="str">
        <v>Product_Line</v>
      </c>
      <c r="B4" s="3" t="str">
        <f>IF(OR(A4="Invoice_ID",A4="Branch",A4="City",A4="Product_Line",A4="Payment"),"Categorical",IF(A4="Date","Date",IF(COUNT(INDEX(Supermarket_Sales_1000_Rows[],0,MATCH(A4,Supermarket_Sales_1000_Rows[#Headers],0)))&gt;0,"Numerical","Categorical")))</f>
        <v>Categorical</v>
      </c>
      <c r="C4" s="4"/>
    </row>
    <row r="5" spans="1:3" ht="24.6" x14ac:dyDescent="0.4">
      <c r="A5" s="3" t="str">
        <v>Unit_Price</v>
      </c>
      <c r="B5" s="3" t="str">
        <f>IF(OR(A5="Invoice_ID",A5="Branch",A5="City",A5="Product_Line",A5="Payment"),"Categorical",IF(A5="Date","Date",IF(COUNT(INDEX(Supermarket_Sales_1000_Rows[],0,MATCH(A5,Supermarket_Sales_1000_Rows[#Headers],0)))&gt;0,"Numerical","Categorical")))</f>
        <v>Numerical</v>
      </c>
      <c r="C5" s="4"/>
    </row>
    <row r="6" spans="1:3" ht="24.6" x14ac:dyDescent="0.4">
      <c r="A6" s="3" t="str">
        <v>Quantity</v>
      </c>
      <c r="B6" s="3" t="str">
        <f>IF(OR(A6="Invoice_ID",A6="Branch",A6="City",A6="Product_Line",A6="Payment"),"Categorical",IF(A6="Date","Date",IF(COUNT(INDEX(Supermarket_Sales_1000_Rows[],0,MATCH(A6,Supermarket_Sales_1000_Rows[#Headers],0)))&gt;0,"Numerical","Categorical")))</f>
        <v>Numerical</v>
      </c>
      <c r="C6" s="4"/>
    </row>
    <row r="7" spans="1:3" ht="24.6" x14ac:dyDescent="0.4">
      <c r="A7" s="3" t="str">
        <v>Total_Sales</v>
      </c>
      <c r="B7" s="3" t="str">
        <f>IF(OR(A7="Invoice_ID",A7="Branch",A7="City",A7="Product_Line",A7="Payment"),"Categorical",IF(A7="Date","Date",IF(COUNT(INDEX(Supermarket_Sales_1000_Rows[],0,MATCH(A7,Supermarket_Sales_1000_Rows[#Headers],0)))&gt;0,"Numerical","Categorical")))</f>
        <v>Numerical</v>
      </c>
      <c r="C7" s="4"/>
    </row>
    <row r="8" spans="1:3" ht="24.6" x14ac:dyDescent="0.4">
      <c r="A8" s="3" t="str">
        <v>Date</v>
      </c>
      <c r="B8" s="3" t="str">
        <f>IF(OR(A8="Invoice_ID",A8="Branch",A8="City",A8="Product_Line",A8="Payment"),"Categorical",IF(A8="Date","Date",IF(COUNT(INDEX(Supermarket_Sales_1000_Rows[],0,MATCH(A8,Supermarket_Sales_1000_Rows[#Headers],0)))&gt;0,"Numerical","Categorical")))</f>
        <v>Date</v>
      </c>
      <c r="C8" s="4"/>
    </row>
    <row r="9" spans="1:3" ht="24.6" x14ac:dyDescent="0.4">
      <c r="A9" s="3" t="str">
        <v>Payment</v>
      </c>
      <c r="B9" s="3" t="str">
        <f>IF(OR(A9="Invoice_ID",A9="Branch",A9="City",A9="Product_Line",A9="Payment"),"Categorical",IF(A9="Date","Date",IF(COUNT(INDEX(Supermarket_Sales_1000_Rows[],0,MATCH(A9,Supermarket_Sales_1000_Rows[#Headers],0)))&gt;0,"Numerical","Categorical")))</f>
        <v>Categorical</v>
      </c>
      <c r="C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315D-F408-4E8D-B0B7-FC48D7BFE6B1}">
  <dimension ref="A1:B1"/>
  <sheetViews>
    <sheetView workbookViewId="0">
      <selection activeCell="C8" sqref="C8"/>
    </sheetView>
  </sheetViews>
  <sheetFormatPr defaultRowHeight="14.4" x14ac:dyDescent="0.3"/>
  <cols>
    <col min="1" max="1" width="37.6640625" bestFit="1" customWidth="1"/>
    <col min="2" max="2" width="9" bestFit="1" customWidth="1"/>
  </cols>
  <sheetData>
    <row r="1" spans="1:2" ht="24.6" x14ac:dyDescent="0.4">
      <c r="A1" s="11" t="s">
        <v>1042</v>
      </c>
      <c r="B1" s="11">
        <f>COUNTA(Supermarket_Sales_1000_Rows[Invoice_ID])</f>
        <v>1000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D4361-3237-438C-B6D9-8BFD66EAF7A4}">
  <dimension ref="A3:N24"/>
  <sheetViews>
    <sheetView topLeftCell="A10" workbookViewId="0">
      <selection activeCell="D29" sqref="D29"/>
    </sheetView>
  </sheetViews>
  <sheetFormatPr defaultRowHeight="14.4" x14ac:dyDescent="0.3"/>
  <cols>
    <col min="1" max="1" width="16" bestFit="1" customWidth="1"/>
    <col min="2" max="2" width="16.5546875" bestFit="1" customWidth="1"/>
  </cols>
  <sheetData>
    <row r="3" spans="1:2" x14ac:dyDescent="0.3">
      <c r="A3" s="9" t="s">
        <v>1036</v>
      </c>
      <c r="B3" t="s">
        <v>1038</v>
      </c>
    </row>
    <row r="4" spans="1:2" x14ac:dyDescent="0.3">
      <c r="A4" s="10" t="s">
        <v>24</v>
      </c>
      <c r="B4">
        <v>7877998.7999999989</v>
      </c>
    </row>
    <row r="5" spans="1:2" x14ac:dyDescent="0.3">
      <c r="A5" s="10" t="s">
        <v>9</v>
      </c>
      <c r="B5">
        <v>5874241.2100000028</v>
      </c>
    </row>
    <row r="6" spans="1:2" x14ac:dyDescent="0.3">
      <c r="A6" s="10" t="s">
        <v>14</v>
      </c>
      <c r="B6">
        <v>5682010.2299999967</v>
      </c>
    </row>
    <row r="7" spans="1:2" x14ac:dyDescent="0.3">
      <c r="A7" s="10" t="s">
        <v>20</v>
      </c>
      <c r="B7">
        <v>5459157.8300000001</v>
      </c>
    </row>
    <row r="8" spans="1:2" x14ac:dyDescent="0.3">
      <c r="A8" s="10" t="s">
        <v>38</v>
      </c>
      <c r="B8">
        <v>5062694.0500000007</v>
      </c>
    </row>
    <row r="9" spans="1:2" x14ac:dyDescent="0.3">
      <c r="A9" s="10" t="s">
        <v>29</v>
      </c>
      <c r="B9">
        <v>4020459.4299999983</v>
      </c>
    </row>
    <row r="10" spans="1:2" x14ac:dyDescent="0.3">
      <c r="A10" s="10" t="s">
        <v>1037</v>
      </c>
      <c r="B10">
        <v>33976561.549999997</v>
      </c>
    </row>
    <row r="23" spans="1:14" x14ac:dyDescent="0.3">
      <c r="A23" s="12" t="s">
        <v>1046</v>
      </c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1:14" x14ac:dyDescent="0.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</row>
  </sheetData>
  <mergeCells count="1">
    <mergeCell ref="A23:N24"/>
  </mergeCell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D084-2CFE-4670-96C0-2083E678F2DC}">
  <dimension ref="A3:K14"/>
  <sheetViews>
    <sheetView workbookViewId="0">
      <selection activeCell="A15" sqref="A15"/>
    </sheetView>
  </sheetViews>
  <sheetFormatPr defaultRowHeight="14.4" x14ac:dyDescent="0.3"/>
  <cols>
    <col min="1" max="1" width="19.88671875" bestFit="1" customWidth="1"/>
    <col min="2" max="2" width="19.109375" bestFit="1" customWidth="1"/>
  </cols>
  <sheetData>
    <row r="3" spans="1:11" x14ac:dyDescent="0.3">
      <c r="A3" s="9" t="s">
        <v>1036</v>
      </c>
      <c r="B3" t="s">
        <v>1039</v>
      </c>
    </row>
    <row r="4" spans="1:11" x14ac:dyDescent="0.3">
      <c r="A4" s="10" t="s">
        <v>11</v>
      </c>
      <c r="B4">
        <v>219</v>
      </c>
    </row>
    <row r="5" spans="1:11" x14ac:dyDescent="0.3">
      <c r="A5" s="10" t="s">
        <v>31</v>
      </c>
      <c r="B5">
        <v>192</v>
      </c>
    </row>
    <row r="6" spans="1:11" x14ac:dyDescent="0.3">
      <c r="A6" s="10" t="s">
        <v>16</v>
      </c>
      <c r="B6">
        <v>168</v>
      </c>
    </row>
    <row r="7" spans="1:11" x14ac:dyDescent="0.3">
      <c r="A7" s="10" t="s">
        <v>47</v>
      </c>
      <c r="B7">
        <v>153</v>
      </c>
    </row>
    <row r="8" spans="1:11" x14ac:dyDescent="0.3">
      <c r="A8" s="10" t="s">
        <v>33</v>
      </c>
      <c r="B8">
        <v>139</v>
      </c>
    </row>
    <row r="9" spans="1:11" x14ac:dyDescent="0.3">
      <c r="A9" s="10" t="s">
        <v>26</v>
      </c>
      <c r="B9">
        <v>129</v>
      </c>
    </row>
    <row r="10" spans="1:11" x14ac:dyDescent="0.3">
      <c r="A10" s="10" t="s">
        <v>1037</v>
      </c>
      <c r="B10">
        <v>1000</v>
      </c>
    </row>
    <row r="13" spans="1:11" x14ac:dyDescent="0.3">
      <c r="A13" s="14" t="s">
        <v>1045</v>
      </c>
      <c r="B13" s="15"/>
      <c r="C13" s="15"/>
      <c r="D13" s="15"/>
      <c r="E13" s="15"/>
      <c r="F13" s="15"/>
      <c r="G13" s="15"/>
      <c r="H13" s="15"/>
      <c r="I13" s="15"/>
      <c r="J13" s="15"/>
      <c r="K13" s="15"/>
    </row>
    <row r="14" spans="1:1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</row>
  </sheetData>
  <mergeCells count="1">
    <mergeCell ref="A13:K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379AF-7AC3-499B-8862-FEEB6671BEBA}">
  <dimension ref="A3:L13"/>
  <sheetViews>
    <sheetView workbookViewId="0">
      <selection activeCell="E22" sqref="E22"/>
    </sheetView>
  </sheetViews>
  <sheetFormatPr defaultRowHeight="14.4" x14ac:dyDescent="0.3"/>
  <cols>
    <col min="1" max="1" width="12.44140625" bestFit="1" customWidth="1"/>
    <col min="2" max="2" width="15.5546875" bestFit="1" customWidth="1"/>
  </cols>
  <sheetData>
    <row r="3" spans="1:12" x14ac:dyDescent="0.3">
      <c r="A3" s="9" t="s">
        <v>1036</v>
      </c>
      <c r="B3" t="s">
        <v>1040</v>
      </c>
    </row>
    <row r="4" spans="1:12" x14ac:dyDescent="0.3">
      <c r="A4" s="10" t="s">
        <v>27</v>
      </c>
      <c r="B4">
        <v>312</v>
      </c>
    </row>
    <row r="5" spans="1:12" x14ac:dyDescent="0.3">
      <c r="A5" s="10" t="s">
        <v>12</v>
      </c>
      <c r="B5">
        <v>285</v>
      </c>
    </row>
    <row r="6" spans="1:12" x14ac:dyDescent="0.3">
      <c r="A6" s="10" t="s">
        <v>17</v>
      </c>
      <c r="B6">
        <v>217</v>
      </c>
    </row>
    <row r="7" spans="1:12" x14ac:dyDescent="0.3">
      <c r="A7" s="10" t="s">
        <v>22</v>
      </c>
      <c r="B7">
        <v>186</v>
      </c>
    </row>
    <row r="8" spans="1:12" x14ac:dyDescent="0.3">
      <c r="A8" s="10" t="s">
        <v>1037</v>
      </c>
      <c r="B8">
        <v>1000</v>
      </c>
    </row>
    <row r="12" spans="1:12" x14ac:dyDescent="0.3">
      <c r="A12" s="16" t="s">
        <v>1043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spans="1:12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</sheetData>
  <mergeCells count="1">
    <mergeCell ref="A12:L1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C233-17A9-4ECB-B47C-72BBD814E9A1}">
  <dimension ref="A3:M21"/>
  <sheetViews>
    <sheetView workbookViewId="0">
      <selection activeCell="C25" sqref="C25"/>
    </sheetView>
  </sheetViews>
  <sheetFormatPr defaultRowHeight="14.4" x14ac:dyDescent="0.3"/>
  <cols>
    <col min="1" max="1" width="12.44140625" bestFit="1" customWidth="1"/>
    <col min="2" max="2" width="16.77734375" bestFit="1" customWidth="1"/>
  </cols>
  <sheetData>
    <row r="3" spans="1:2" x14ac:dyDescent="0.3">
      <c r="A3" s="9" t="s">
        <v>1036</v>
      </c>
      <c r="B3" t="s">
        <v>1041</v>
      </c>
    </row>
    <row r="4" spans="1:2" x14ac:dyDescent="0.3">
      <c r="A4" s="10" t="s">
        <v>10</v>
      </c>
      <c r="B4">
        <v>161</v>
      </c>
    </row>
    <row r="5" spans="1:2" x14ac:dyDescent="0.3">
      <c r="A5" s="10" t="s">
        <v>30</v>
      </c>
      <c r="B5">
        <v>118</v>
      </c>
    </row>
    <row r="6" spans="1:2" x14ac:dyDescent="0.3">
      <c r="A6" s="10" t="s">
        <v>39</v>
      </c>
      <c r="B6">
        <v>169</v>
      </c>
    </row>
    <row r="7" spans="1:2" x14ac:dyDescent="0.3">
      <c r="A7" s="10" t="s">
        <v>15</v>
      </c>
      <c r="B7">
        <v>166</v>
      </c>
    </row>
    <row r="8" spans="1:2" x14ac:dyDescent="0.3">
      <c r="A8" s="10" t="s">
        <v>25</v>
      </c>
      <c r="B8">
        <v>233</v>
      </c>
    </row>
    <row r="9" spans="1:2" x14ac:dyDescent="0.3">
      <c r="A9" s="10" t="s">
        <v>21</v>
      </c>
      <c r="B9">
        <v>153</v>
      </c>
    </row>
    <row r="10" spans="1:2" x14ac:dyDescent="0.3">
      <c r="A10" s="10" t="s">
        <v>1037</v>
      </c>
      <c r="B10">
        <v>1000</v>
      </c>
    </row>
    <row r="20" spans="1:13" x14ac:dyDescent="0.3">
      <c r="A20" s="18" t="s">
        <v>1044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</row>
    <row r="21" spans="1:13" x14ac:dyDescent="0.3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</row>
  </sheetData>
  <mergeCells count="1">
    <mergeCell ref="A20:M21"/>
  </mergeCell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E7089E-0651-4F30-A41E-DC9E5FADC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Supermarket_Sales_1000_Rows</vt:lpstr>
      <vt:lpstr>Total Sales</vt:lpstr>
      <vt:lpstr>Average Sales</vt:lpstr>
      <vt:lpstr>Maximum Billing</vt:lpstr>
      <vt:lpstr>Minimum bill</vt:lpstr>
      <vt:lpstr>Total Records</vt:lpstr>
      <vt:lpstr>Identify Columns</vt:lpstr>
      <vt:lpstr>1} Total Transcations Occured</vt:lpstr>
      <vt:lpstr>2} High Sales By Branch</vt:lpstr>
      <vt:lpstr>3} Most Frequently Product Line</vt:lpstr>
      <vt:lpstr>4} Payment Method Used</vt:lpstr>
      <vt:lpstr>5} Largerst Customer by 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 pal</dc:creator>
  <cp:lastModifiedBy>umesh pal</cp:lastModifiedBy>
  <dcterms:created xsi:type="dcterms:W3CDTF">2026-08-09T08:47:21Z</dcterms:created>
  <dcterms:modified xsi:type="dcterms:W3CDTF">2026-08-11T01:41:26Z</dcterms:modified>
</cp:coreProperties>
</file>